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roperty_Tax\Levies\Levy2024\Table2024\Final for Internet\"/>
    </mc:Choice>
  </mc:AlternateContent>
  <xr:revisionPtr revIDLastSave="0" documentId="13_ncr:1_{E2EE19BD-B556-4748-BF99-FEA87FA06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ior Levy Detail" sheetId="2" r:id="rId1"/>
  </sheets>
  <definedNames>
    <definedName name="_xlnm.Print_Area" localSheetId="0">'Junior Levy Detail'!$A$1:$H$1029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9" i="2" l="1"/>
  <c r="G1007" i="2"/>
  <c r="G967" i="2"/>
  <c r="G928" i="2"/>
  <c r="G912" i="2"/>
  <c r="G900" i="2"/>
  <c r="G878" i="2"/>
  <c r="G856" i="2"/>
  <c r="G824" i="2"/>
  <c r="G776" i="2"/>
  <c r="G758" i="2"/>
  <c r="G718" i="2"/>
  <c r="G695" i="2"/>
  <c r="G644" i="2"/>
  <c r="G631" i="2"/>
  <c r="G608" i="2"/>
  <c r="G570" i="2"/>
  <c r="G537" i="2"/>
  <c r="G510" i="2"/>
  <c r="G460" i="2"/>
  <c r="G431" i="2"/>
  <c r="G415" i="2"/>
  <c r="G383" i="2"/>
  <c r="G333" i="2"/>
  <c r="G309" i="2"/>
  <c r="G290" i="2"/>
  <c r="G253" i="2"/>
  <c r="G214" i="2"/>
  <c r="G208" i="2"/>
  <c r="G195" i="2"/>
  <c r="G183" i="2"/>
  <c r="G163" i="2"/>
  <c r="G135" i="2"/>
  <c r="G124" i="2"/>
  <c r="G97" i="2"/>
  <c r="G81" i="2"/>
  <c r="G57" i="2"/>
  <c r="G39" i="2"/>
  <c r="G27" i="2"/>
</calcChain>
</file>

<file path=xl/sharedStrings.xml><?xml version="1.0" encoding="utf-8"?>
<sst xmlns="http://schemas.openxmlformats.org/spreadsheetml/2006/main" count="995" uniqueCount="573">
  <si>
    <t xml:space="preserve">  Levy Detail</t>
  </si>
  <si>
    <t>County</t>
  </si>
  <si>
    <t>Valuation</t>
  </si>
  <si>
    <t>Adams</t>
  </si>
  <si>
    <t>Library #1 Othello</t>
  </si>
  <si>
    <t>Library #2 Ritzville</t>
  </si>
  <si>
    <t>Hospital #3 Othello</t>
  </si>
  <si>
    <t>Hosp 2 EMS Ritzville</t>
  </si>
  <si>
    <t>Hosp 3 EMS Othello</t>
  </si>
  <si>
    <t>Cemetery #3 Lind</t>
  </si>
  <si>
    <t>Asotin</t>
  </si>
  <si>
    <t>Asotin Rural Library</t>
  </si>
  <si>
    <t>Blue Mountain Fire District</t>
  </si>
  <si>
    <t>Port of Clarkston</t>
  </si>
  <si>
    <t>EMS Dist #1</t>
  </si>
  <si>
    <t>Cemetery</t>
  </si>
  <si>
    <t>Flood Zone</t>
  </si>
  <si>
    <t>Benton</t>
  </si>
  <si>
    <t>Port of Benton</t>
  </si>
  <si>
    <t>Port of Kennewick</t>
  </si>
  <si>
    <t>EMS Fire Dist #2</t>
  </si>
  <si>
    <t>EMS Fire Dist #4</t>
  </si>
  <si>
    <t>Chelan</t>
  </si>
  <si>
    <t>Hospital #1</t>
  </si>
  <si>
    <t>Hospital #2</t>
  </si>
  <si>
    <t>Port of Chelan</t>
  </si>
  <si>
    <t>Park &amp; Rec Manson</t>
  </si>
  <si>
    <t>Park &amp; Rec Upper Valley</t>
  </si>
  <si>
    <t>Cemetery #1</t>
  </si>
  <si>
    <t>Cemetery #2</t>
  </si>
  <si>
    <t>Cemetery #3</t>
  </si>
  <si>
    <t>Cemetery #4</t>
  </si>
  <si>
    <t>Cemetery #5</t>
  </si>
  <si>
    <t>Flood Control Zone</t>
  </si>
  <si>
    <t>Clallam</t>
  </si>
  <si>
    <t>Olympic Rural Library</t>
  </si>
  <si>
    <t>Port of Pt Angeles</t>
  </si>
  <si>
    <t>Clark</t>
  </si>
  <si>
    <t>Metro Park Greater Clark</t>
  </si>
  <si>
    <t>Port of Vancouver</t>
  </si>
  <si>
    <t>Port of Ridgefield</t>
  </si>
  <si>
    <t>EMS FD #6</t>
  </si>
  <si>
    <t>EMS East Co Fire/Rescue</t>
  </si>
  <si>
    <t>EMS Camas</t>
  </si>
  <si>
    <t>Cemetery #6</t>
  </si>
  <si>
    <t>Columbia</t>
  </si>
  <si>
    <t>Port of Columbia</t>
  </si>
  <si>
    <t>Park &amp; Rec Prescott Special</t>
  </si>
  <si>
    <t>Cowlitz</t>
  </si>
  <si>
    <t>Port of Woodland</t>
  </si>
  <si>
    <t>Port of Longview</t>
  </si>
  <si>
    <t>EMS Fire Dist #3</t>
  </si>
  <si>
    <t>Cemetery #7</t>
  </si>
  <si>
    <t>Douglas</t>
  </si>
  <si>
    <t>Metro Park Eastmont</t>
  </si>
  <si>
    <t>Ferry</t>
  </si>
  <si>
    <t>Franklin</t>
  </si>
  <si>
    <t>Hospital Dist #1</t>
  </si>
  <si>
    <t>Port of Pasco</t>
  </si>
  <si>
    <t>Cemetery Dist #1</t>
  </si>
  <si>
    <t>Cemetery Dist #2</t>
  </si>
  <si>
    <t>Garfield</t>
  </si>
  <si>
    <t>Port of Garfield</t>
  </si>
  <si>
    <t>Grant</t>
  </si>
  <si>
    <t>Hospital Dist #2</t>
  </si>
  <si>
    <t>Hospital Dist #3</t>
  </si>
  <si>
    <t>Hospital Dist #4</t>
  </si>
  <si>
    <t>Hospital Dist #5</t>
  </si>
  <si>
    <t>Hospital Dist #7</t>
  </si>
  <si>
    <t>EMS Fire Dist #10</t>
  </si>
  <si>
    <t>Grays Harbor</t>
  </si>
  <si>
    <t>Timberland Inter-Co Library</t>
  </si>
  <si>
    <t>Port Regular</t>
  </si>
  <si>
    <t>EMS Fire #2</t>
  </si>
  <si>
    <t>EMS Fire #6</t>
  </si>
  <si>
    <t>EMS Fire #8</t>
  </si>
  <si>
    <t>EMS Fire #10</t>
  </si>
  <si>
    <t>EMS Fire #12</t>
  </si>
  <si>
    <t>EMS Fire #15</t>
  </si>
  <si>
    <t>EMS Hoquiam</t>
  </si>
  <si>
    <t>Island</t>
  </si>
  <si>
    <t>Sno-Island Inter-Co Library</t>
  </si>
  <si>
    <t>Library Camano Island Bond</t>
  </si>
  <si>
    <t>Port of Coupeville</t>
  </si>
  <si>
    <t>Port of So Whidbey</t>
  </si>
  <si>
    <t>EMS FD #1</t>
  </si>
  <si>
    <t>EMS Hospital Dist #1</t>
  </si>
  <si>
    <t>Park &amp; Rec So Whidbey</t>
  </si>
  <si>
    <t>Jefferson</t>
  </si>
  <si>
    <t>Jefferson Rural Library</t>
  </si>
  <si>
    <t>Port of Pt Townsend</t>
  </si>
  <si>
    <t>EMS FD #3</t>
  </si>
  <si>
    <t>EMS FD #4</t>
  </si>
  <si>
    <t>EMS FD #5</t>
  </si>
  <si>
    <t>King</t>
  </si>
  <si>
    <t>Pierce Co Rural Library</t>
  </si>
  <si>
    <t>Hospital #1-Valley General</t>
  </si>
  <si>
    <t>Hospital #2-Evergreen</t>
  </si>
  <si>
    <t>Hospital #4-Snoqualmie</t>
  </si>
  <si>
    <t>Fire Dist. #2-Burien</t>
  </si>
  <si>
    <t>Fire Dist. #4-Shoreline</t>
  </si>
  <si>
    <t>Fire Dist. #10-Issaquah</t>
  </si>
  <si>
    <t>Fire Dist. #11-No.Highline</t>
  </si>
  <si>
    <t>Fire Dist. #13-Vashon</t>
  </si>
  <si>
    <t>Fire Dist. #16-Northshore</t>
  </si>
  <si>
    <t>Fire Dist. #20-Bryn Mawr</t>
  </si>
  <si>
    <t>Fire Dist. #22-East Pierce</t>
  </si>
  <si>
    <t>Fire Dist. #27-Fall City</t>
  </si>
  <si>
    <t>Fire Dist. #28-Enumclaw</t>
  </si>
  <si>
    <t>Fire Dist. #31-Auburn</t>
  </si>
  <si>
    <t>Fire Dist. #34-Redmond</t>
  </si>
  <si>
    <t>Fire Dist. #36-Woodinville</t>
  </si>
  <si>
    <t>Fire Dist. #38-No.Bend</t>
  </si>
  <si>
    <t>Fire Dist. #39-Federal Way</t>
  </si>
  <si>
    <t>Fire Dist. #40-Spring Glen</t>
  </si>
  <si>
    <t>Fire Dist. #43-Maple Valley</t>
  </si>
  <si>
    <t>Fire Dist. #44-Auburn</t>
  </si>
  <si>
    <t>Fire Dist. #45-Duvall</t>
  </si>
  <si>
    <t>Fire Dist. #50-Skykomish</t>
  </si>
  <si>
    <t>Si View Metro Park</t>
  </si>
  <si>
    <t>Normandy Park Metro Park</t>
  </si>
  <si>
    <t>Des Moines Pool Metro Park</t>
  </si>
  <si>
    <t>Tukwila Pool Metro Park</t>
  </si>
  <si>
    <t>Cemetery Dist. #1-Vashon</t>
  </si>
  <si>
    <t>County Transportation</t>
  </si>
  <si>
    <t>Kitsap</t>
  </si>
  <si>
    <t>Kitsap Rural Library</t>
  </si>
  <si>
    <t>Metro Park-Village Green</t>
  </si>
  <si>
    <t>Port of Bremerton</t>
  </si>
  <si>
    <t>Port of Brownsville</t>
  </si>
  <si>
    <t>Port of Illahee</t>
  </si>
  <si>
    <t>Port of Indianola</t>
  </si>
  <si>
    <t>Port of Keyport</t>
  </si>
  <si>
    <t>Port of Kingston</t>
  </si>
  <si>
    <t>Port of Manchester</t>
  </si>
  <si>
    <t>Port of Poulsbo</t>
  </si>
  <si>
    <t>Port of Silverdale</t>
  </si>
  <si>
    <t>Port of Waterman</t>
  </si>
  <si>
    <t>Port of Eglon</t>
  </si>
  <si>
    <t>Port of Tracyton</t>
  </si>
  <si>
    <t>EMS Bremerton</t>
  </si>
  <si>
    <t>EMS FD #2 Bainbridge Island</t>
  </si>
  <si>
    <t>EMS FD Dist #7 South Kitsap</t>
  </si>
  <si>
    <t>Kittitas</t>
  </si>
  <si>
    <t>Hospital Dist #2 EMS</t>
  </si>
  <si>
    <t>Flood Control</t>
  </si>
  <si>
    <t>Klickitat</t>
  </si>
  <si>
    <t>Cemetery Dist #3</t>
  </si>
  <si>
    <t>Cemetery Dist #4</t>
  </si>
  <si>
    <t>Lewis</t>
  </si>
  <si>
    <t>Port of Centralia</t>
  </si>
  <si>
    <t>Port of Chehalis</t>
  </si>
  <si>
    <t>EMS FD #2</t>
  </si>
  <si>
    <t>EMS FD #9</t>
  </si>
  <si>
    <t>EMS FD #10</t>
  </si>
  <si>
    <t>EMS FD #14</t>
  </si>
  <si>
    <t>EMS FD #15</t>
  </si>
  <si>
    <t>EMS FD #17</t>
  </si>
  <si>
    <t>EMS FD #18</t>
  </si>
  <si>
    <t>EMS FD #20</t>
  </si>
  <si>
    <t>EMS Chehalis</t>
  </si>
  <si>
    <t>Cemetery #8</t>
  </si>
  <si>
    <t>Cemetery #9</t>
  </si>
  <si>
    <t>Cemetery #10</t>
  </si>
  <si>
    <t>Lincoln</t>
  </si>
  <si>
    <t>Hospital #1 Odessa</t>
  </si>
  <si>
    <t>Hospital #3 Davenport</t>
  </si>
  <si>
    <t>Fire Dist #1 Sprague</t>
  </si>
  <si>
    <t>EMS Fire District #1</t>
  </si>
  <si>
    <t>Park &amp; Rec #3-Davenport</t>
  </si>
  <si>
    <t>Cemetery #1 Rearden</t>
  </si>
  <si>
    <t>Cemetery #2 Long Lake</t>
  </si>
  <si>
    <t>Cemetery #3 Mondovi</t>
  </si>
  <si>
    <t>Cemetery #4 Edwall</t>
  </si>
  <si>
    <t>Cemetery #7 Sprague</t>
  </si>
  <si>
    <t>Mason</t>
  </si>
  <si>
    <t>Metro Park</t>
  </si>
  <si>
    <t>Port of Allyn</t>
  </si>
  <si>
    <t>Port of Dewatto</t>
  </si>
  <si>
    <t>Port of Hoodsport</t>
  </si>
  <si>
    <t>Port of Shelton</t>
  </si>
  <si>
    <t>Port of Grapeview</t>
  </si>
  <si>
    <t>EMS - Shelton</t>
  </si>
  <si>
    <t>Okanogan</t>
  </si>
  <si>
    <t>EMS Twisp City</t>
  </si>
  <si>
    <t>EMS Winthrop City</t>
  </si>
  <si>
    <t>EMS Methow Valley Rural</t>
  </si>
  <si>
    <t>EMS Brewster</t>
  </si>
  <si>
    <t>EMS Pateros</t>
  </si>
  <si>
    <t>EMS Tonasket</t>
  </si>
  <si>
    <t>Pacific</t>
  </si>
  <si>
    <t>Hospital #3</t>
  </si>
  <si>
    <t>Port of Willapa</t>
  </si>
  <si>
    <t>Port of Ilwaco</t>
  </si>
  <si>
    <t>Port of Peninsula</t>
  </si>
  <si>
    <t>Port of Chinook</t>
  </si>
  <si>
    <t>Pend Oreille</t>
  </si>
  <si>
    <t>Pierce</t>
  </si>
  <si>
    <t>Tacoma Metro Park</t>
  </si>
  <si>
    <t>Peninsula Metro Park</t>
  </si>
  <si>
    <t>Key Peninsula Metro Park</t>
  </si>
  <si>
    <t>Port of Tacoma</t>
  </si>
  <si>
    <t>EMS FD #13</t>
  </si>
  <si>
    <t>EMS FD #16</t>
  </si>
  <si>
    <t>EMS FD #21</t>
  </si>
  <si>
    <t>EMS FD #26</t>
  </si>
  <si>
    <t>EMS FD #27</t>
  </si>
  <si>
    <t>EMS Tacoma</t>
  </si>
  <si>
    <t>EMS Buckley</t>
  </si>
  <si>
    <t>EMS Eatonville</t>
  </si>
  <si>
    <t>EMS Fircrest</t>
  </si>
  <si>
    <t>EMS Steilacoom</t>
  </si>
  <si>
    <t>EMS Dupont</t>
  </si>
  <si>
    <t>EMS Carbonado</t>
  </si>
  <si>
    <t>EMS Wilkeson</t>
  </si>
  <si>
    <t>Pierce County Flood Control</t>
  </si>
  <si>
    <t>San Juan</t>
  </si>
  <si>
    <t>San Juan Island Library</t>
  </si>
  <si>
    <t>Lopez Island Library</t>
  </si>
  <si>
    <t>Orcas Island Library</t>
  </si>
  <si>
    <t>San Juan Hospital #1</t>
  </si>
  <si>
    <t>Port of Friday Harbor</t>
  </si>
  <si>
    <t>Port of Lopez</t>
  </si>
  <si>
    <t>Port of Orcas</t>
  </si>
  <si>
    <t>Park &amp; Rec - San Juan</t>
  </si>
  <si>
    <t>Park &amp; Rec - Orcas Island</t>
  </si>
  <si>
    <t>Cemetery #1 San Juan</t>
  </si>
  <si>
    <t>Lopez Solid Waste Disposal</t>
  </si>
  <si>
    <t>Skagit</t>
  </si>
  <si>
    <t>La Conner Library Dist #1</t>
  </si>
  <si>
    <t>Hospital Dist #1 Bond</t>
  </si>
  <si>
    <t>Medic 1 EMS</t>
  </si>
  <si>
    <t>Park &amp; Rec-Fidalgo</t>
  </si>
  <si>
    <t>Cemetery Dist #5</t>
  </si>
  <si>
    <t>Cemetery Dist #6</t>
  </si>
  <si>
    <t>Skamania</t>
  </si>
  <si>
    <t>Fire Dist #1</t>
  </si>
  <si>
    <t>Fire Dist #2</t>
  </si>
  <si>
    <t>Fire Dist #3</t>
  </si>
  <si>
    <t>Fire Dist #4</t>
  </si>
  <si>
    <t>Fire Dist #5</t>
  </si>
  <si>
    <t>Fire Dist #6</t>
  </si>
  <si>
    <t>Port District</t>
  </si>
  <si>
    <t>Snohomish</t>
  </si>
  <si>
    <t>Port of Everett</t>
  </si>
  <si>
    <t>Port of Edmonds</t>
  </si>
  <si>
    <t>EMS FD #8</t>
  </si>
  <si>
    <t>EMS FD #12</t>
  </si>
  <si>
    <t>EMS FD #19</t>
  </si>
  <si>
    <t>EMS FD #22</t>
  </si>
  <si>
    <t>EMS FD #23</t>
  </si>
  <si>
    <t>EMS FD #24</t>
  </si>
  <si>
    <t>EMS FD #25</t>
  </si>
  <si>
    <t>EMS Edmonds</t>
  </si>
  <si>
    <t>EMS Everett</t>
  </si>
  <si>
    <t>EMS Marysville</t>
  </si>
  <si>
    <t>EMS Mukilteo</t>
  </si>
  <si>
    <t>EMS Bothell</t>
  </si>
  <si>
    <t>Spokane</t>
  </si>
  <si>
    <t>Spokane Rural Library</t>
  </si>
  <si>
    <t>EMS City of Spokane</t>
  </si>
  <si>
    <t>EMS FD #11</t>
  </si>
  <si>
    <t>EMS City of Cheney</t>
  </si>
  <si>
    <t>EMS City of Rockford</t>
  </si>
  <si>
    <t>Cemetery #1 Spangle</t>
  </si>
  <si>
    <t>Cemetery #3 Moran</t>
  </si>
  <si>
    <t>Cemetery #4 Elk</t>
  </si>
  <si>
    <t>Cemetery #5 Milan</t>
  </si>
  <si>
    <t>Cemetery #6 Waverly</t>
  </si>
  <si>
    <t>Stevens</t>
  </si>
  <si>
    <t>Library</t>
  </si>
  <si>
    <t>Thurston</t>
  </si>
  <si>
    <t>FD #3 Lacey</t>
  </si>
  <si>
    <t>FD #6 East Olympia</t>
  </si>
  <si>
    <t>FD #8 South Bay</t>
  </si>
  <si>
    <t>FD #13 Griffin</t>
  </si>
  <si>
    <t>FD #17 Bald Hill</t>
  </si>
  <si>
    <t>EMS - Medic One</t>
  </si>
  <si>
    <t>Parks &amp; Rec - Tanglewilde</t>
  </si>
  <si>
    <t>Cemetery #1 Rochester</t>
  </si>
  <si>
    <t>Cemetery #2 Yelm</t>
  </si>
  <si>
    <t>Wahkiakum</t>
  </si>
  <si>
    <t>EMS</t>
  </si>
  <si>
    <t>Walla Walla</t>
  </si>
  <si>
    <t>Walla Walla Rural Library</t>
  </si>
  <si>
    <t>Port of Walla Walla</t>
  </si>
  <si>
    <t>Whatcom</t>
  </si>
  <si>
    <t>Cemetery Dist #7</t>
  </si>
  <si>
    <t>Cemetery Dist #8</t>
  </si>
  <si>
    <t>Cemetery Dist #9</t>
  </si>
  <si>
    <t>Cemetery Dist #10</t>
  </si>
  <si>
    <t>Cemetery Dist #11</t>
  </si>
  <si>
    <t>Affordable Housing</t>
  </si>
  <si>
    <t>Whitman</t>
  </si>
  <si>
    <t>Whitman Rural Library</t>
  </si>
  <si>
    <t>Hospital #1A</t>
  </si>
  <si>
    <t>Hospital #3 Bond</t>
  </si>
  <si>
    <t>Hospital #4</t>
  </si>
  <si>
    <t>Metro Park - Pullman</t>
  </si>
  <si>
    <t>Port of Whitman</t>
  </si>
  <si>
    <t>EMS City of Palouse</t>
  </si>
  <si>
    <t>EMS City of Pullman</t>
  </si>
  <si>
    <t>Yakima</t>
  </si>
  <si>
    <t>Yakima Rural Library</t>
  </si>
  <si>
    <t>Port of Sunnyside</t>
  </si>
  <si>
    <t>Port of Grandview</t>
  </si>
  <si>
    <t>Park &amp; Rec Selah Bond</t>
  </si>
  <si>
    <t>Fire Dist #1 Ritzville</t>
  </si>
  <si>
    <t>Fire Dist #2 Lind</t>
  </si>
  <si>
    <t>Fire Dist #3 Odessa</t>
  </si>
  <si>
    <t>Fire Dist #4 Harder-McCall</t>
  </si>
  <si>
    <t>Fire Dist #5 Othello</t>
  </si>
  <si>
    <t>Fire Dist #6 Benge</t>
  </si>
  <si>
    <t>Fire Dist #7 Washtucna</t>
  </si>
  <si>
    <t>Port Dist # 1 - Othello</t>
  </si>
  <si>
    <t>Hospital Dist Prosser</t>
  </si>
  <si>
    <t>Fire #1 Non-Voted GO Bond</t>
  </si>
  <si>
    <t>West Benton RFA</t>
  </si>
  <si>
    <t>No Central Inter-Co Library</t>
  </si>
  <si>
    <t>Fire Dist #7</t>
  </si>
  <si>
    <t>Fire Dist #8</t>
  </si>
  <si>
    <t>Fire Dist #9</t>
  </si>
  <si>
    <t>EMS - Hospital #1</t>
  </si>
  <si>
    <t>EMS - Fire #3</t>
  </si>
  <si>
    <t>Fire Dist #10</t>
  </si>
  <si>
    <t>Fire Dist #13</t>
  </si>
  <si>
    <t>EMS Dist #4</t>
  </si>
  <si>
    <t>Hospital Dist #6</t>
  </si>
  <si>
    <t>Fire Dist #15 (6&amp;7)</t>
  </si>
  <si>
    <t>EMS FD #15 (6&amp;7)</t>
  </si>
  <si>
    <t>Fire Dist #14</t>
  </si>
  <si>
    <t>Fire Dist #11</t>
  </si>
  <si>
    <t>Fire Dist #12</t>
  </si>
  <si>
    <t>Fire Dist #15</t>
  </si>
  <si>
    <t>Port Dist #1</t>
  </si>
  <si>
    <t>Port Dist #2</t>
  </si>
  <si>
    <t>Port Dist #3</t>
  </si>
  <si>
    <t>Port Dist #4</t>
  </si>
  <si>
    <t>Port Dist #5</t>
  </si>
  <si>
    <t>Port Dist #7</t>
  </si>
  <si>
    <t>Port Dist #8</t>
  </si>
  <si>
    <t>Port Dist #9</t>
  </si>
  <si>
    <t>Port Dist #10</t>
  </si>
  <si>
    <t>EMS Fire Dist #8</t>
  </si>
  <si>
    <t>Fire Dist #16</t>
  </si>
  <si>
    <t>Fire Dist #17</t>
  </si>
  <si>
    <t>Fire Dist Mason Co #12</t>
  </si>
  <si>
    <t>EMS Ocean Shores</t>
  </si>
  <si>
    <t>EMS Mason Co Fire #12</t>
  </si>
  <si>
    <t>Parks &amp; Rec Dist #1</t>
  </si>
  <si>
    <t>Fire Dist. #47-Palmer Selle</t>
  </si>
  <si>
    <t>Seattle Metro Park</t>
  </si>
  <si>
    <t>Valley RFA</t>
  </si>
  <si>
    <t>Kent RFA #62</t>
  </si>
  <si>
    <t>Fire Dist #7 South Kitsap</t>
  </si>
  <si>
    <t>Fire Dist #10 North Kitsap</t>
  </si>
  <si>
    <t>North Mason RFA</t>
  </si>
  <si>
    <t>Fire Dist #1 Thorp</t>
  </si>
  <si>
    <t>Fire Dist #2 Ellensburg</t>
  </si>
  <si>
    <t>Fire Dist #3 Easton</t>
  </si>
  <si>
    <t>Fire Dist #4 Vantage</t>
  </si>
  <si>
    <t>Fire Dist #51 Snoqualmie</t>
  </si>
  <si>
    <t>Fire Dist #6 Ronald</t>
  </si>
  <si>
    <t>Fire Dist #7 Upper County</t>
  </si>
  <si>
    <t>Port Dist Regular</t>
  </si>
  <si>
    <t>Park &amp; Rec</t>
  </si>
  <si>
    <t>Fire Dist #18</t>
  </si>
  <si>
    <t>Fire Dist #20</t>
  </si>
  <si>
    <t>EMS Riverside RFA #1</t>
  </si>
  <si>
    <t>Riverside RFA #1</t>
  </si>
  <si>
    <t>Hospital #6 Grand Coulee</t>
  </si>
  <si>
    <t>Fire Dist #4 Reardan</t>
  </si>
  <si>
    <t>Fire Dist #5 Davenport</t>
  </si>
  <si>
    <t>Fire Dist #6 Harrington</t>
  </si>
  <si>
    <t>Fire Dist #7 Wilbur</t>
  </si>
  <si>
    <t>Fire Dist #8 Almira</t>
  </si>
  <si>
    <t>Fire Dist #10 Adams/Lincoln</t>
  </si>
  <si>
    <t>EMS Dist #3</t>
  </si>
  <si>
    <t>EMS Dist #6</t>
  </si>
  <si>
    <t>EMS North Mason RFA #10</t>
  </si>
  <si>
    <t>EMS Dist #11</t>
  </si>
  <si>
    <t>EMS Dist #12</t>
  </si>
  <si>
    <t>EMS Dist #13</t>
  </si>
  <si>
    <t>EMS Dist #17</t>
  </si>
  <si>
    <t>EMS Dist #18</t>
  </si>
  <si>
    <t>North Mason RFA #10</t>
  </si>
  <si>
    <t>Fire Dist #15 (6/7/5)</t>
  </si>
  <si>
    <t>Fire Dist SPOFR</t>
  </si>
  <si>
    <t>King Co Rural Library</t>
  </si>
  <si>
    <t>Fire Dist #21</t>
  </si>
  <si>
    <t>Fire Dist #22</t>
  </si>
  <si>
    <t>Fire Dist #23</t>
  </si>
  <si>
    <t>Fire Dist #25</t>
  </si>
  <si>
    <t>Fire Dist #26</t>
  </si>
  <si>
    <t>Fire Dist #27</t>
  </si>
  <si>
    <t>Fire Dist #2 Orcas</t>
  </si>
  <si>
    <t>Fire Dist #3 San Juan</t>
  </si>
  <si>
    <t>Fire Dist #4 Lopez</t>
  </si>
  <si>
    <t>Fire Dist #5 Shaw</t>
  </si>
  <si>
    <t>Hospital Dist #304</t>
  </si>
  <si>
    <t>Fire Dist #19</t>
  </si>
  <si>
    <t>Fire Dist #24</t>
  </si>
  <si>
    <t>Port Dist #1 Anacortes</t>
  </si>
  <si>
    <t>Port Dist #2 Skagit County</t>
  </si>
  <si>
    <t>EMS Fire District #24</t>
  </si>
  <si>
    <t>EMS North County RFA #14/18</t>
  </si>
  <si>
    <t>North County RFA #14/18</t>
  </si>
  <si>
    <t>Cemetery #2 W Greenwood</t>
  </si>
  <si>
    <t>Fire Dist #1 EMS</t>
  </si>
  <si>
    <t>Fire Dist #8 EMS</t>
  </si>
  <si>
    <t>Public Utility Dist #1</t>
  </si>
  <si>
    <t>SE Thurston RFA</t>
  </si>
  <si>
    <t>EMS Dist#16</t>
  </si>
  <si>
    <t>South Whatcom RFA</t>
  </si>
  <si>
    <t>Fire Dist #1 Cowiche</t>
  </si>
  <si>
    <t>Fire Dist #2 Selah</t>
  </si>
  <si>
    <t>Fire Dist #3 Naches</t>
  </si>
  <si>
    <t>Fire Dist #4 East Valley</t>
  </si>
  <si>
    <t>Fire Dist #5 Lower Valley</t>
  </si>
  <si>
    <t>Fire Dist #6 Gleed</t>
  </si>
  <si>
    <t>Fire Dist #7 Glade</t>
  </si>
  <si>
    <t>Fire Dist #9 Naches Hts</t>
  </si>
  <si>
    <t>Fire Dist #10 Fruitvale</t>
  </si>
  <si>
    <t>Fire Dist #11 Broadway</t>
  </si>
  <si>
    <t>Fire Dist #12 West Valley</t>
  </si>
  <si>
    <t>Fire Dist #14 Nile</t>
  </si>
  <si>
    <t>Fall City Metro Park</t>
  </si>
  <si>
    <t>Renton RFA #63</t>
  </si>
  <si>
    <t>Central Puget Sound RTA</t>
  </si>
  <si>
    <t>EMS Countywide</t>
  </si>
  <si>
    <t>EMS Washougal</t>
  </si>
  <si>
    <t>EMS Dist #20</t>
  </si>
  <si>
    <t>Fire Dist #2 GO Bond</t>
  </si>
  <si>
    <t>EMS Fire #5</t>
  </si>
  <si>
    <t>EMS Fire #17</t>
  </si>
  <si>
    <t>Vashon Park &amp; Rec</t>
  </si>
  <si>
    <t>EMS North Mason RFA</t>
  </si>
  <si>
    <t>Fire Dist #9 Lakeview Terra</t>
  </si>
  <si>
    <t>EMS City of Sprague</t>
  </si>
  <si>
    <t>Lopez Hospital #2</t>
  </si>
  <si>
    <t>South County RFA</t>
  </si>
  <si>
    <t>FD #12 South Thurston</t>
  </si>
  <si>
    <t>Metro Park - Olympia</t>
  </si>
  <si>
    <t>Columbia Co Pub Hosp Joint</t>
  </si>
  <si>
    <t>EMS Regular</t>
  </si>
  <si>
    <t>EMS - Republic</t>
  </si>
  <si>
    <t>EMS South Beach RFA</t>
  </si>
  <si>
    <t>South Beach RFA</t>
  </si>
  <si>
    <t>South Beach RFA Excess</t>
  </si>
  <si>
    <t>Park &amp; Rec No Whidbey</t>
  </si>
  <si>
    <t>EMS South Prairie</t>
  </si>
  <si>
    <t>Orcas Hospital #3</t>
  </si>
  <si>
    <t>Cemetery #3 Orcas</t>
  </si>
  <si>
    <t>Park &amp; Rec. Underwood</t>
  </si>
  <si>
    <t>EMS South County RFA</t>
  </si>
  <si>
    <t>Cemetery #1 Special</t>
  </si>
  <si>
    <t>Fort Vancouver Inter-Co Library</t>
  </si>
  <si>
    <t>East Co Fire/Rescue</t>
  </si>
  <si>
    <t>EMS Yacolt</t>
  </si>
  <si>
    <t>Columbia County Rural Library</t>
  </si>
  <si>
    <t>Columbia Co Pub Hospital</t>
  </si>
  <si>
    <t>County Partial Rural Library</t>
  </si>
  <si>
    <t xml:space="preserve">Yale Valley Library </t>
  </si>
  <si>
    <t>EMS County #1</t>
  </si>
  <si>
    <t>Mid-Columbia Inter-Co Library</t>
  </si>
  <si>
    <t>EMS Fire #16</t>
  </si>
  <si>
    <t>Library - Coupeville Library</t>
  </si>
  <si>
    <t>Fire Dist. #49-Snoqualmie Pass</t>
  </si>
  <si>
    <t>Fire Dist #2 Bainbridge Island</t>
  </si>
  <si>
    <t>Fire Dist #18 No Kitsap/Poulsbo</t>
  </si>
  <si>
    <t>Metro Park-Bainbridge Island</t>
  </si>
  <si>
    <t>EMS FD Dist #10 North Kitsap</t>
  </si>
  <si>
    <t>EMS FD Dist #18 No Kitsap/Poulsbo</t>
  </si>
  <si>
    <t>Fire Dist #8 Kachess Bond</t>
  </si>
  <si>
    <t>WS Valley Pool Metro Park</t>
  </si>
  <si>
    <t>EMS Oroville City</t>
  </si>
  <si>
    <t>EMS Oroville Rural</t>
  </si>
  <si>
    <t xml:space="preserve">Tonasket Park &amp; Rec </t>
  </si>
  <si>
    <t>EMS Dist #15 Grays</t>
  </si>
  <si>
    <t>Pend Oreille Rural Library</t>
  </si>
  <si>
    <t>Sewer Excess</t>
  </si>
  <si>
    <t>Parks &amp; Rec - Anderson Island</t>
  </si>
  <si>
    <t>Central Skagit Rural Library</t>
  </si>
  <si>
    <t>Northshore Park &amp; Rec</t>
  </si>
  <si>
    <t>Marysville RFA</t>
  </si>
  <si>
    <t>FD #9 McLane/Black Lake</t>
  </si>
  <si>
    <t>FD #11 Littlerock</t>
  </si>
  <si>
    <t>Metro Park - Tumwater</t>
  </si>
  <si>
    <t>Parks &amp; Rec Prescott Special</t>
  </si>
  <si>
    <t>Point Roberts Public Hospital</t>
  </si>
  <si>
    <t>Park &amp; Rec Pt Roberts</t>
  </si>
  <si>
    <t>EMS Fire Dist #7</t>
  </si>
  <si>
    <t>EMS Fire Dist #12</t>
  </si>
  <si>
    <t>Park &amp; Rec #2 Garfield Special</t>
  </si>
  <si>
    <t>Park &amp; Rec #3 St John Special</t>
  </si>
  <si>
    <t>Park &amp; Rec #4 Oakesdale Special</t>
  </si>
  <si>
    <t>Hospital #2 Ritzville</t>
  </si>
  <si>
    <t>EMS Dist #1 Special</t>
  </si>
  <si>
    <t>Asotin, EMS Special</t>
  </si>
  <si>
    <t>Clarkston, EMS Special</t>
  </si>
  <si>
    <t>Lib Cap Fac Benton Co Bond</t>
  </si>
  <si>
    <t>Fire Dist #11 Clark Cowlitz</t>
  </si>
  <si>
    <t>EMS Fire #7 Excess</t>
  </si>
  <si>
    <t>Hospital #5 Vashon</t>
  </si>
  <si>
    <t>Northshore Park</t>
  </si>
  <si>
    <t>Hospital Dist#2</t>
  </si>
  <si>
    <t>EMS Snohomish RFA #7/8</t>
  </si>
  <si>
    <t>Snohomish RFA #7/8</t>
  </si>
  <si>
    <t>Fire Dist #4 EMS</t>
  </si>
  <si>
    <t>Port of Olympia Regular</t>
  </si>
  <si>
    <t>Park &amp; Rec Lynden Regional</t>
  </si>
  <si>
    <t>Park &amp; Rec #6 Tekoa Special</t>
  </si>
  <si>
    <t>Park &amp; Rec #3 Lind-Special</t>
  </si>
  <si>
    <t>Park &amp; Rec #4 Ritzville-Special</t>
  </si>
  <si>
    <t>Mid-Columbia Inter Co Library</t>
  </si>
  <si>
    <t>Garfield Mem Hosp Reg</t>
  </si>
  <si>
    <t>Fire Dist #1 Silverdale</t>
  </si>
  <si>
    <t>EMS FD Dist #1 Silverdale</t>
  </si>
  <si>
    <t>EMS - Lopez</t>
  </si>
  <si>
    <t>Park &amp; Rec #5 Rosalia Special</t>
  </si>
  <si>
    <t>Port of Bellingham +RDA</t>
  </si>
  <si>
    <t>Cemetery #2 Special</t>
  </si>
  <si>
    <t>Park &amp; Rec Naches Project</t>
  </si>
  <si>
    <t>Park &amp; Rec #1 Othello-GO Bond</t>
  </si>
  <si>
    <t>Cemetery #1 Washtucna</t>
  </si>
  <si>
    <t>Hospital Dist Kennewick General</t>
  </si>
  <si>
    <t>EMS CCFR</t>
  </si>
  <si>
    <t>EMS Dist 1 North Country</t>
  </si>
  <si>
    <t>EMS Dist #8</t>
  </si>
  <si>
    <t>EMS Fire #4</t>
  </si>
  <si>
    <t>Public Utility District</t>
  </si>
  <si>
    <t>King Co Rural Library District</t>
  </si>
  <si>
    <t>EMS County Wide</t>
  </si>
  <si>
    <t>Flood Zone County-Wide</t>
  </si>
  <si>
    <t>Fire Dist #7 EMS</t>
  </si>
  <si>
    <t xml:space="preserve">Municipality/Taxing District </t>
  </si>
  <si>
    <t>Regular Levy Rate</t>
  </si>
  <si>
    <t>William Shore MET Park District</t>
  </si>
  <si>
    <t>TOTAL</t>
  </si>
  <si>
    <t>EMS HOSP#1</t>
  </si>
  <si>
    <t>EMS HOSP#2</t>
  </si>
  <si>
    <t>Wenatchee Valley RFA</t>
  </si>
  <si>
    <t>Part 2: Junior Taxing District Levies Due in 2024</t>
  </si>
  <si>
    <t>Regular Levy Due in 2024</t>
  </si>
  <si>
    <t>Bond/Special Levies Due in 2024</t>
  </si>
  <si>
    <t>Total Taxes Due in 2024</t>
  </si>
  <si>
    <t>Park &amp; Rec #2 Washtucna Special</t>
  </si>
  <si>
    <t>Port of Camas-Wshgl</t>
  </si>
  <si>
    <t>Fort Vancouver - Cap Imp Bond</t>
  </si>
  <si>
    <t>Clark/Cowlitz Fire &amp; Rescue</t>
  </si>
  <si>
    <t>EMS North Country (#1)</t>
  </si>
  <si>
    <t>Chelan Douglas Regional Port</t>
  </si>
  <si>
    <t>Public Utility Dist</t>
  </si>
  <si>
    <t>Marine (fka Ferry) District</t>
  </si>
  <si>
    <t>Metro Park#001 Odessa</t>
  </si>
  <si>
    <t>Park &amp; Rec-#1-Edwall</t>
  </si>
  <si>
    <t>Park &amp; Rec-#2-Almira</t>
  </si>
  <si>
    <t>Fire Dist #5/#11</t>
  </si>
  <si>
    <t>EMS Dist #5/#11</t>
  </si>
  <si>
    <t>EMS Fire #14</t>
  </si>
  <si>
    <t xml:space="preserve">Fire Dist #15 </t>
  </si>
  <si>
    <t>EMS #1 Pacific Co(part)</t>
  </si>
  <si>
    <t>EMS - San Juan Hosp District</t>
  </si>
  <si>
    <t>Darrington Rural Library District</t>
  </si>
  <si>
    <t>Upper Skagit Library District</t>
  </si>
  <si>
    <t>Hospital #1 Co-Wide</t>
  </si>
  <si>
    <t>Metro Park -Regular SCPD</t>
  </si>
  <si>
    <t>EMS Hosp #1 Co-Wide</t>
  </si>
  <si>
    <t>Cemetery #1 Co-Wide</t>
  </si>
  <si>
    <t>Parks and Rec.</t>
  </si>
  <si>
    <t>W Thurston RFA</t>
  </si>
  <si>
    <t>Whatcom Rural Library District</t>
  </si>
  <si>
    <t>Park &amp; Rec #1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</si>
</sst>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_);_(* \(#,##0.00000\);_(* &quot;-&quot;??_);_(@_)"/>
    <numFmt numFmtId="165" formatCode="_(* #,##0_);_(* \(#,##0\);_(* &quot;-&quot;??_);_(@_)"/>
    <numFmt numFmtId="166" formatCode="&quot;$&quot;#,##0"/>
    <numFmt numFmtId="167" formatCode="#,##0.00000"/>
  </numFmts>
  <fonts count="7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color rgb="FF174A7C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74A7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2" fillId="0" borderId="0" xfId="0" applyFont="1"/>
    <xf numFmtId="0" fontId="5" fillId="3" borderId="4" xfId="2" applyFont="1" applyFill="1" applyBorder="1" applyAlignment="1">
      <alignment horizontal="left"/>
    </xf>
    <xf numFmtId="0" fontId="5" fillId="3" borderId="5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6" fillId="0" borderId="0" xfId="0" applyFont="1"/>
    <xf numFmtId="0" fontId="5" fillId="0" borderId="7" xfId="2" applyFont="1" applyBorder="1" applyAlignment="1">
      <alignment horizontal="left"/>
    </xf>
    <xf numFmtId="166" fontId="5" fillId="4" borderId="7" xfId="2" applyNumberFormat="1" applyFont="1" applyFill="1" applyBorder="1"/>
    <xf numFmtId="167" fontId="5" fillId="4" borderId="7" xfId="2" applyNumberFormat="1" applyFont="1" applyFill="1" applyBorder="1"/>
    <xf numFmtId="0" fontId="5" fillId="3" borderId="7" xfId="2" applyFont="1" applyFill="1" applyBorder="1" applyAlignment="1">
      <alignment horizontal="left"/>
    </xf>
    <xf numFmtId="3" fontId="5" fillId="3" borderId="7" xfId="2" applyNumberFormat="1" applyFont="1" applyFill="1" applyBorder="1"/>
    <xf numFmtId="167" fontId="5" fillId="3" borderId="7" xfId="2" applyNumberFormat="1" applyFont="1" applyFill="1" applyBorder="1"/>
    <xf numFmtId="3" fontId="5" fillId="0" borderId="7" xfId="2" applyNumberFormat="1" applyFont="1" applyBorder="1"/>
    <xf numFmtId="167" fontId="5" fillId="0" borderId="7" xfId="2" applyNumberFormat="1" applyFont="1" applyBorder="1"/>
    <xf numFmtId="3" fontId="5" fillId="3" borderId="5" xfId="2" applyNumberFormat="1" applyFont="1" applyFill="1" applyBorder="1"/>
    <xf numFmtId="167" fontId="5" fillId="3" borderId="5" xfId="2" applyNumberFormat="1" applyFont="1" applyFill="1" applyBorder="1"/>
    <xf numFmtId="3" fontId="5" fillId="3" borderId="6" xfId="2" applyNumberFormat="1" applyFont="1" applyFill="1" applyBorder="1"/>
    <xf numFmtId="165" fontId="6" fillId="0" borderId="0" xfId="1" applyNumberFormat="1" applyFont="1"/>
    <xf numFmtId="164" fontId="6" fillId="0" borderId="0" xfId="1" applyNumberFormat="1" applyFont="1"/>
    <xf numFmtId="165" fontId="6" fillId="0" borderId="0" xfId="1" applyNumberFormat="1" applyFont="1" applyBorder="1"/>
    <xf numFmtId="0" fontId="5" fillId="4" borderId="4" xfId="2" applyFont="1" applyFill="1" applyBorder="1" applyAlignment="1">
      <alignment horizontal="left"/>
    </xf>
    <xf numFmtId="3" fontId="5" fillId="4" borderId="5" xfId="2" applyNumberFormat="1" applyFont="1" applyFill="1" applyBorder="1"/>
    <xf numFmtId="167" fontId="5" fillId="4" borderId="5" xfId="2" applyNumberFormat="1" applyFont="1" applyFill="1" applyBorder="1"/>
    <xf numFmtId="3" fontId="5" fillId="4" borderId="6" xfId="2" applyNumberFormat="1" applyFont="1" applyFill="1" applyBorder="1"/>
    <xf numFmtId="0" fontId="6" fillId="0" borderId="0" xfId="0" quotePrefix="1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4" fillId="2" borderId="2" xfId="2" applyFont="1" applyFill="1" applyBorder="1" applyAlignment="1">
      <alignment horizontal="left"/>
    </xf>
    <xf numFmtId="0" fontId="4" fillId="2" borderId="3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 wrapText="1"/>
    </xf>
    <xf numFmtId="0" fontId="4" fillId="2" borderId="3" xfId="2" applyFont="1" applyFill="1" applyBorder="1" applyAlignment="1">
      <alignment horizontal="left" wrapText="1"/>
    </xf>
    <xf numFmtId="0" fontId="4" fillId="2" borderId="2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right" wrapText="1"/>
    </xf>
    <xf numFmtId="0" fontId="4" fillId="2" borderId="3" xfId="2" applyFont="1" applyFill="1" applyBorder="1" applyAlignment="1">
      <alignment horizontal="right" wrapText="1"/>
    </xf>
  </cellXfs>
  <cellStyles count="3">
    <cellStyle name="Comma" xfId="1" builtinId="3"/>
    <cellStyle name="Normal" xfId="0" builtinId="0"/>
    <cellStyle name="Normal 2 10" xfId="2" xr:uid="{57112BD9-F813-42FA-8B83-8E0FA06DF3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C35E-8FA8-41FC-8ECB-2FE170AE295F}">
  <dimension ref="A1:G1039"/>
  <sheetViews>
    <sheetView tabSelected="1" zoomScaleNormal="100" workbookViewId="0">
      <selection sqref="A1:G1"/>
    </sheetView>
  </sheetViews>
  <sheetFormatPr defaultRowHeight="12.75" x14ac:dyDescent="0.2"/>
  <cols>
    <col min="1" max="1" width="9.5703125" style="1" customWidth="1"/>
    <col min="2" max="2" width="33.28515625" style="1" customWidth="1"/>
    <col min="3" max="3" width="16.5703125" style="1" bestFit="1" customWidth="1"/>
    <col min="4" max="4" width="10.7109375" style="1" bestFit="1" customWidth="1"/>
    <col min="5" max="5" width="12.5703125" style="1" bestFit="1" customWidth="1"/>
    <col min="6" max="6" width="14.7109375" style="1" customWidth="1"/>
    <col min="7" max="7" width="14.28515625" style="1" bestFit="1" customWidth="1"/>
  </cols>
  <sheetData>
    <row r="1" spans="1:7" s="1" customFormat="1" ht="18.75" customHeight="1" x14ac:dyDescent="0.35">
      <c r="A1" s="25" t="s">
        <v>0</v>
      </c>
      <c r="B1" s="25"/>
      <c r="C1" s="25"/>
      <c r="D1" s="25"/>
      <c r="E1" s="25"/>
      <c r="F1" s="25"/>
      <c r="G1" s="25"/>
    </row>
    <row r="2" spans="1:7" s="1" customFormat="1" ht="21.75" customHeight="1" x14ac:dyDescent="0.35">
      <c r="A2" s="25" t="s">
        <v>542</v>
      </c>
      <c r="B2" s="25"/>
      <c r="C2" s="26"/>
      <c r="D2" s="26"/>
      <c r="E2" s="26"/>
      <c r="F2" s="25"/>
      <c r="G2" s="25"/>
    </row>
    <row r="3" spans="1:7" s="1" customFormat="1" ht="15" customHeight="1" x14ac:dyDescent="0.2">
      <c r="A3" s="27" t="s">
        <v>1</v>
      </c>
      <c r="B3" s="29" t="s">
        <v>535</v>
      </c>
      <c r="C3" s="31" t="s">
        <v>2</v>
      </c>
      <c r="D3" s="33" t="s">
        <v>536</v>
      </c>
      <c r="E3" s="33" t="s">
        <v>543</v>
      </c>
      <c r="F3" s="33" t="s">
        <v>544</v>
      </c>
      <c r="G3" s="33" t="s">
        <v>545</v>
      </c>
    </row>
    <row r="4" spans="1:7" s="1" customFormat="1" ht="15" customHeight="1" x14ac:dyDescent="0.2">
      <c r="A4" s="28"/>
      <c r="B4" s="30"/>
      <c r="C4" s="32"/>
      <c r="D4" s="34"/>
      <c r="E4" s="34"/>
      <c r="F4" s="34"/>
      <c r="G4" s="34"/>
    </row>
    <row r="5" spans="1:7" s="1" customFormat="1" ht="15" customHeight="1" x14ac:dyDescent="0.2">
      <c r="A5" s="28"/>
      <c r="B5" s="30"/>
      <c r="C5" s="32"/>
      <c r="D5" s="34"/>
      <c r="E5" s="34"/>
      <c r="F5" s="34"/>
      <c r="G5" s="34"/>
    </row>
    <row r="6" spans="1:7" s="1" customFormat="1" ht="15" x14ac:dyDescent="0.25">
      <c r="A6" s="2" t="s">
        <v>3</v>
      </c>
      <c r="B6" s="3"/>
      <c r="C6" s="3"/>
      <c r="D6" s="3"/>
      <c r="E6" s="3"/>
      <c r="F6" s="3"/>
      <c r="G6" s="4"/>
    </row>
    <row r="7" spans="1:7" s="1" customFormat="1" ht="15" x14ac:dyDescent="0.25">
      <c r="A7" s="5"/>
      <c r="B7" s="6" t="s">
        <v>4</v>
      </c>
      <c r="C7" s="7">
        <v>2303194284</v>
      </c>
      <c r="D7" s="8">
        <v>0.35603000000000001</v>
      </c>
      <c r="E7" s="7">
        <v>820000</v>
      </c>
      <c r="F7" s="7">
        <v>0</v>
      </c>
      <c r="G7" s="7">
        <v>820000</v>
      </c>
    </row>
    <row r="8" spans="1:7" s="1" customFormat="1" ht="15" x14ac:dyDescent="0.25">
      <c r="A8" s="5"/>
      <c r="B8" s="9" t="s">
        <v>5</v>
      </c>
      <c r="C8" s="10">
        <v>1104127711</v>
      </c>
      <c r="D8" s="11">
        <v>0.33284999999999998</v>
      </c>
      <c r="E8" s="10">
        <v>367509</v>
      </c>
      <c r="F8" s="10">
        <v>0</v>
      </c>
      <c r="G8" s="10">
        <v>367509</v>
      </c>
    </row>
    <row r="9" spans="1:7" s="1" customFormat="1" ht="15" x14ac:dyDescent="0.25">
      <c r="A9" s="5"/>
      <c r="B9" s="6" t="s">
        <v>496</v>
      </c>
      <c r="C9" s="12">
        <v>1161676841</v>
      </c>
      <c r="D9" s="13">
        <v>0.53605999999999998</v>
      </c>
      <c r="E9" s="12">
        <v>622728</v>
      </c>
      <c r="F9" s="12">
        <v>404000</v>
      </c>
      <c r="G9" s="12">
        <v>1026728</v>
      </c>
    </row>
    <row r="10" spans="1:7" s="1" customFormat="1" ht="15" x14ac:dyDescent="0.25">
      <c r="A10" s="5"/>
      <c r="B10" s="9" t="s">
        <v>6</v>
      </c>
      <c r="C10" s="10">
        <v>2309207779</v>
      </c>
      <c r="D10" s="11">
        <v>0.52847</v>
      </c>
      <c r="E10" s="10">
        <v>1220356</v>
      </c>
      <c r="F10" s="10">
        <v>0</v>
      </c>
      <c r="G10" s="10">
        <v>1220356</v>
      </c>
    </row>
    <row r="11" spans="1:7" s="1" customFormat="1" ht="15" x14ac:dyDescent="0.25">
      <c r="A11" s="5"/>
      <c r="B11" s="6" t="s">
        <v>307</v>
      </c>
      <c r="C11" s="12">
        <v>307029896</v>
      </c>
      <c r="D11" s="13">
        <v>0.83145000000000002</v>
      </c>
      <c r="E11" s="12">
        <v>255279</v>
      </c>
      <c r="F11" s="12">
        <v>0</v>
      </c>
      <c r="G11" s="12">
        <v>255279</v>
      </c>
    </row>
    <row r="12" spans="1:7" s="1" customFormat="1" ht="15" x14ac:dyDescent="0.25">
      <c r="A12" s="5"/>
      <c r="B12" s="9" t="s">
        <v>308</v>
      </c>
      <c r="C12" s="10">
        <v>475854451</v>
      </c>
      <c r="D12" s="11">
        <v>0.39928000000000002</v>
      </c>
      <c r="E12" s="10">
        <v>190000</v>
      </c>
      <c r="F12" s="10">
        <v>0</v>
      </c>
      <c r="G12" s="10">
        <v>190000</v>
      </c>
    </row>
    <row r="13" spans="1:7" s="1" customFormat="1" ht="15" x14ac:dyDescent="0.25">
      <c r="A13" s="5"/>
      <c r="B13" s="6" t="s">
        <v>309</v>
      </c>
      <c r="C13" s="12">
        <v>99188568</v>
      </c>
      <c r="D13" s="13">
        <v>0.55720999999999998</v>
      </c>
      <c r="E13" s="12">
        <v>55269</v>
      </c>
      <c r="F13" s="12">
        <v>0</v>
      </c>
      <c r="G13" s="12">
        <v>55269</v>
      </c>
    </row>
    <row r="14" spans="1:7" s="1" customFormat="1" ht="15" x14ac:dyDescent="0.25">
      <c r="A14" s="5"/>
      <c r="B14" s="9" t="s">
        <v>310</v>
      </c>
      <c r="C14" s="10">
        <v>19471716</v>
      </c>
      <c r="D14" s="11">
        <v>0.94921999999999995</v>
      </c>
      <c r="E14" s="10">
        <v>18483</v>
      </c>
      <c r="F14" s="10">
        <v>11000</v>
      </c>
      <c r="G14" s="10">
        <v>29483</v>
      </c>
    </row>
    <row r="15" spans="1:7" s="1" customFormat="1" ht="15" x14ac:dyDescent="0.25">
      <c r="A15" s="5"/>
      <c r="B15" s="6" t="s">
        <v>311</v>
      </c>
      <c r="C15" s="12">
        <v>908416794</v>
      </c>
      <c r="D15" s="13">
        <v>0.65778999999999999</v>
      </c>
      <c r="E15" s="12">
        <v>597546</v>
      </c>
      <c r="F15" s="12">
        <v>0</v>
      </c>
      <c r="G15" s="12">
        <v>597546</v>
      </c>
    </row>
    <row r="16" spans="1:7" s="1" customFormat="1" ht="15" x14ac:dyDescent="0.25">
      <c r="A16" s="5"/>
      <c r="B16" s="9" t="s">
        <v>312</v>
      </c>
      <c r="C16" s="10">
        <v>38367774</v>
      </c>
      <c r="D16" s="11">
        <v>0.89080999999999999</v>
      </c>
      <c r="E16" s="10">
        <v>34179</v>
      </c>
      <c r="F16" s="10">
        <v>0</v>
      </c>
      <c r="G16" s="10">
        <v>34179</v>
      </c>
    </row>
    <row r="17" spans="1:7" s="1" customFormat="1" ht="15" x14ac:dyDescent="0.25">
      <c r="A17" s="5"/>
      <c r="B17" s="6" t="s">
        <v>313</v>
      </c>
      <c r="C17" s="12">
        <v>168884560</v>
      </c>
      <c r="D17" s="13">
        <v>0.70545999999999998</v>
      </c>
      <c r="E17" s="12">
        <v>119142</v>
      </c>
      <c r="F17" s="12">
        <v>0</v>
      </c>
      <c r="G17" s="12">
        <v>119142</v>
      </c>
    </row>
    <row r="18" spans="1:7" s="1" customFormat="1" ht="15" x14ac:dyDescent="0.25">
      <c r="A18" s="5"/>
      <c r="B18" s="9" t="s">
        <v>314</v>
      </c>
      <c r="C18" s="10">
        <v>2128747651</v>
      </c>
      <c r="D18" s="11">
        <v>0.33183000000000001</v>
      </c>
      <c r="E18" s="10">
        <v>706382</v>
      </c>
      <c r="F18" s="10">
        <v>0</v>
      </c>
      <c r="G18" s="10">
        <v>706382</v>
      </c>
    </row>
    <row r="19" spans="1:7" s="1" customFormat="1" ht="15" x14ac:dyDescent="0.25">
      <c r="A19" s="5"/>
      <c r="B19" s="6" t="s">
        <v>7</v>
      </c>
      <c r="C19" s="12">
        <v>1161676841</v>
      </c>
      <c r="D19" s="13">
        <v>0.31019999999999998</v>
      </c>
      <c r="E19" s="12">
        <v>360350</v>
      </c>
      <c r="F19" s="12">
        <v>0</v>
      </c>
      <c r="G19" s="12">
        <v>360350</v>
      </c>
    </row>
    <row r="20" spans="1:7" s="1" customFormat="1" ht="15" x14ac:dyDescent="0.25">
      <c r="A20" s="5"/>
      <c r="B20" s="9" t="s">
        <v>8</v>
      </c>
      <c r="C20" s="10">
        <v>2309207779</v>
      </c>
      <c r="D20" s="11">
        <v>0.4</v>
      </c>
      <c r="E20" s="10">
        <v>923683</v>
      </c>
      <c r="F20" s="10">
        <v>0</v>
      </c>
      <c r="G20" s="10">
        <v>923683</v>
      </c>
    </row>
    <row r="21" spans="1:7" s="1" customFormat="1" ht="15" x14ac:dyDescent="0.25">
      <c r="A21" s="5"/>
      <c r="B21" s="6" t="s">
        <v>523</v>
      </c>
      <c r="C21" s="12">
        <v>2122201051</v>
      </c>
      <c r="D21" s="13">
        <v>0</v>
      </c>
      <c r="E21" s="12">
        <v>0</v>
      </c>
      <c r="F21" s="12">
        <v>228565</v>
      </c>
      <c r="G21" s="12">
        <v>228565</v>
      </c>
    </row>
    <row r="22" spans="1:7" s="1" customFormat="1" ht="15" x14ac:dyDescent="0.25">
      <c r="A22" s="5"/>
      <c r="B22" s="9" t="s">
        <v>546</v>
      </c>
      <c r="C22" s="10">
        <v>94790445</v>
      </c>
      <c r="D22" s="11">
        <v>0</v>
      </c>
      <c r="E22" s="10">
        <v>0</v>
      </c>
      <c r="F22" s="10">
        <v>50000</v>
      </c>
      <c r="G22" s="10">
        <v>50000</v>
      </c>
    </row>
    <row r="23" spans="1:7" s="1" customFormat="1" ht="15" x14ac:dyDescent="0.25">
      <c r="A23" s="5"/>
      <c r="B23" s="6" t="s">
        <v>512</v>
      </c>
      <c r="C23" s="12">
        <v>466035471</v>
      </c>
      <c r="D23" s="13">
        <v>0</v>
      </c>
      <c r="E23" s="12">
        <v>0</v>
      </c>
      <c r="F23" s="12">
        <v>80000</v>
      </c>
      <c r="G23" s="12">
        <v>80000</v>
      </c>
    </row>
    <row r="24" spans="1:7" s="1" customFormat="1" ht="15" x14ac:dyDescent="0.25">
      <c r="A24" s="5"/>
      <c r="B24" s="9" t="s">
        <v>513</v>
      </c>
      <c r="C24" s="10">
        <v>530937740</v>
      </c>
      <c r="D24" s="11">
        <v>0</v>
      </c>
      <c r="E24" s="10">
        <v>0</v>
      </c>
      <c r="F24" s="10">
        <v>160000</v>
      </c>
      <c r="G24" s="10">
        <v>160000</v>
      </c>
    </row>
    <row r="25" spans="1:7" s="1" customFormat="1" ht="15" x14ac:dyDescent="0.25">
      <c r="A25" s="5"/>
      <c r="B25" s="6" t="s">
        <v>524</v>
      </c>
      <c r="C25" s="12">
        <v>94790445</v>
      </c>
      <c r="D25" s="13">
        <v>0</v>
      </c>
      <c r="E25" s="12">
        <v>0</v>
      </c>
      <c r="F25" s="12">
        <v>10500</v>
      </c>
      <c r="G25" s="12">
        <v>10500</v>
      </c>
    </row>
    <row r="26" spans="1:7" s="1" customFormat="1" ht="15" x14ac:dyDescent="0.25">
      <c r="A26" s="5"/>
      <c r="B26" s="9" t="s">
        <v>9</v>
      </c>
      <c r="C26" s="10">
        <v>466701671</v>
      </c>
      <c r="D26" s="11">
        <v>8.9690000000000006E-2</v>
      </c>
      <c r="E26" s="10">
        <v>41861</v>
      </c>
      <c r="F26" s="10">
        <v>0</v>
      </c>
      <c r="G26" s="10">
        <v>41861</v>
      </c>
    </row>
    <row r="27" spans="1:7" s="1" customFormat="1" ht="15" x14ac:dyDescent="0.25">
      <c r="A27" s="5"/>
      <c r="B27" s="20" t="s">
        <v>538</v>
      </c>
      <c r="C27" s="21"/>
      <c r="D27" s="22"/>
      <c r="E27" s="21"/>
      <c r="F27" s="21"/>
      <c r="G27" s="23">
        <f>SUM(G7:G26)</f>
        <v>7276832</v>
      </c>
    </row>
    <row r="28" spans="1:7" s="1" customFormat="1" ht="13.5" x14ac:dyDescent="0.25">
      <c r="A28" s="5"/>
      <c r="B28" s="5"/>
      <c r="C28" s="17"/>
      <c r="D28" s="18"/>
      <c r="E28" s="17"/>
      <c r="F28" s="17"/>
      <c r="G28" s="19"/>
    </row>
    <row r="29" spans="1:7" s="1" customFormat="1" ht="15" x14ac:dyDescent="0.25">
      <c r="A29" s="2" t="s">
        <v>10</v>
      </c>
      <c r="B29" s="3"/>
      <c r="C29" s="3"/>
      <c r="D29" s="3"/>
      <c r="E29" s="3"/>
      <c r="F29" s="3"/>
      <c r="G29" s="4"/>
    </row>
    <row r="30" spans="1:7" s="1" customFormat="1" ht="15" x14ac:dyDescent="0.25">
      <c r="A30" s="5"/>
      <c r="B30" s="6" t="s">
        <v>11</v>
      </c>
      <c r="C30" s="12">
        <v>2261708021</v>
      </c>
      <c r="D30" s="13">
        <v>0.44358999999999998</v>
      </c>
      <c r="E30" s="12">
        <v>1003270</v>
      </c>
      <c r="F30" s="12">
        <v>0</v>
      </c>
      <c r="G30" s="12">
        <v>1003270</v>
      </c>
    </row>
    <row r="31" spans="1:7" s="1" customFormat="1" ht="15" x14ac:dyDescent="0.25">
      <c r="A31" s="5"/>
      <c r="B31" s="9" t="s">
        <v>236</v>
      </c>
      <c r="C31" s="10">
        <v>1405119385</v>
      </c>
      <c r="D31" s="11">
        <v>0.91844000000000003</v>
      </c>
      <c r="E31" s="10">
        <v>1290515</v>
      </c>
      <c r="F31" s="10">
        <v>0</v>
      </c>
      <c r="G31" s="10">
        <v>1290515</v>
      </c>
    </row>
    <row r="32" spans="1:7" s="1" customFormat="1" ht="15" x14ac:dyDescent="0.25">
      <c r="A32" s="5"/>
      <c r="B32" s="6" t="s">
        <v>12</v>
      </c>
      <c r="C32" s="12">
        <v>27834105</v>
      </c>
      <c r="D32" s="13">
        <v>0.68405000000000005</v>
      </c>
      <c r="E32" s="12">
        <v>19040</v>
      </c>
      <c r="F32" s="12">
        <v>0</v>
      </c>
      <c r="G32" s="12">
        <v>19040</v>
      </c>
    </row>
    <row r="33" spans="1:7" s="1" customFormat="1" ht="15" x14ac:dyDescent="0.25">
      <c r="A33" s="5"/>
      <c r="B33" s="9" t="s">
        <v>13</v>
      </c>
      <c r="C33" s="10">
        <v>2261708021</v>
      </c>
      <c r="D33" s="11">
        <v>0.18217</v>
      </c>
      <c r="E33" s="10">
        <v>412013</v>
      </c>
      <c r="F33" s="10">
        <v>0</v>
      </c>
      <c r="G33" s="10">
        <v>412013</v>
      </c>
    </row>
    <row r="34" spans="1:7" s="1" customFormat="1" ht="15" x14ac:dyDescent="0.25">
      <c r="A34" s="5"/>
      <c r="B34" s="6" t="s">
        <v>497</v>
      </c>
      <c r="C34" s="12">
        <v>1405119385</v>
      </c>
      <c r="D34" s="13">
        <v>0.42671999999999999</v>
      </c>
      <c r="E34" s="12">
        <v>599591</v>
      </c>
      <c r="F34" s="12">
        <v>19617</v>
      </c>
      <c r="G34" s="12">
        <v>619208</v>
      </c>
    </row>
    <row r="35" spans="1:7" s="1" customFormat="1" ht="15" x14ac:dyDescent="0.25">
      <c r="A35" s="5"/>
      <c r="B35" s="9" t="s">
        <v>498</v>
      </c>
      <c r="C35" s="10">
        <v>109049707</v>
      </c>
      <c r="D35" s="11">
        <v>0</v>
      </c>
      <c r="E35" s="10">
        <v>0</v>
      </c>
      <c r="F35" s="10">
        <v>48525</v>
      </c>
      <c r="G35" s="10">
        <v>48525</v>
      </c>
    </row>
    <row r="36" spans="1:7" s="1" customFormat="1" ht="15" x14ac:dyDescent="0.25">
      <c r="A36" s="5"/>
      <c r="B36" s="6" t="s">
        <v>499</v>
      </c>
      <c r="C36" s="12">
        <v>589120457</v>
      </c>
      <c r="D36" s="13">
        <v>0</v>
      </c>
      <c r="E36" s="12">
        <v>0</v>
      </c>
      <c r="F36" s="12">
        <v>875979</v>
      </c>
      <c r="G36" s="12">
        <v>875979</v>
      </c>
    </row>
    <row r="37" spans="1:7" s="1" customFormat="1" ht="15" x14ac:dyDescent="0.25">
      <c r="A37" s="5"/>
      <c r="B37" s="9" t="s">
        <v>15</v>
      </c>
      <c r="C37" s="10">
        <v>2261708021</v>
      </c>
      <c r="D37" s="11">
        <v>8.9599999999999999E-2</v>
      </c>
      <c r="E37" s="10">
        <v>202646</v>
      </c>
      <c r="F37" s="10">
        <v>0</v>
      </c>
      <c r="G37" s="10">
        <v>202646</v>
      </c>
    </row>
    <row r="38" spans="1:7" s="1" customFormat="1" ht="15" x14ac:dyDescent="0.25">
      <c r="A38" s="5"/>
      <c r="B38" s="6" t="s">
        <v>16</v>
      </c>
      <c r="C38" s="12">
        <v>1563537857</v>
      </c>
      <c r="D38" s="13">
        <v>0.15371000000000001</v>
      </c>
      <c r="E38" s="12">
        <v>240330</v>
      </c>
      <c r="F38" s="12">
        <v>0</v>
      </c>
      <c r="G38" s="12">
        <v>240330</v>
      </c>
    </row>
    <row r="39" spans="1:7" s="1" customFormat="1" ht="15" x14ac:dyDescent="0.25">
      <c r="A39" s="5"/>
      <c r="B39" s="2" t="s">
        <v>538</v>
      </c>
      <c r="C39" s="14"/>
      <c r="D39" s="15"/>
      <c r="E39" s="14"/>
      <c r="F39" s="14"/>
      <c r="G39" s="16">
        <f>SUM(G30:G38)</f>
        <v>4711526</v>
      </c>
    </row>
    <row r="40" spans="1:7" s="1" customFormat="1" ht="13.5" x14ac:dyDescent="0.25">
      <c r="A40" s="5"/>
      <c r="B40" s="5"/>
      <c r="C40" s="17"/>
      <c r="D40" s="18"/>
      <c r="E40" s="17"/>
      <c r="F40" s="17"/>
      <c r="G40" s="19"/>
    </row>
    <row r="41" spans="1:7" s="1" customFormat="1" ht="15" x14ac:dyDescent="0.25">
      <c r="A41" s="2" t="s">
        <v>17</v>
      </c>
      <c r="B41" s="3"/>
      <c r="C41" s="3"/>
      <c r="D41" s="3"/>
      <c r="E41" s="3"/>
      <c r="F41" s="3"/>
      <c r="G41" s="4"/>
    </row>
    <row r="42" spans="1:7" s="1" customFormat="1" ht="15" x14ac:dyDescent="0.25">
      <c r="A42" s="5"/>
      <c r="B42" s="6" t="s">
        <v>514</v>
      </c>
      <c r="C42" s="12">
        <v>19168402733</v>
      </c>
      <c r="D42" s="13">
        <v>0.22556000000000001</v>
      </c>
      <c r="E42" s="12">
        <v>4323714</v>
      </c>
      <c r="F42" s="12">
        <v>0</v>
      </c>
      <c r="G42" s="12">
        <v>4323714</v>
      </c>
    </row>
    <row r="43" spans="1:7" s="1" customFormat="1" ht="15" x14ac:dyDescent="0.25">
      <c r="A43" s="5"/>
      <c r="B43" s="9" t="s">
        <v>315</v>
      </c>
      <c r="C43" s="10">
        <v>3400434349</v>
      </c>
      <c r="D43" s="11">
        <v>0.29329</v>
      </c>
      <c r="E43" s="10">
        <v>997308</v>
      </c>
      <c r="F43" s="10">
        <v>0</v>
      </c>
      <c r="G43" s="10">
        <v>997308</v>
      </c>
    </row>
    <row r="44" spans="1:7" s="1" customFormat="1" ht="15" x14ac:dyDescent="0.25">
      <c r="A44" s="5"/>
      <c r="B44" s="6" t="s">
        <v>525</v>
      </c>
      <c r="C44" s="12">
        <v>20748183066</v>
      </c>
      <c r="D44" s="13">
        <v>8.0930000000000002E-2</v>
      </c>
      <c r="E44" s="12">
        <v>1679121</v>
      </c>
      <c r="F44" s="12">
        <v>0</v>
      </c>
      <c r="G44" s="12">
        <v>1679121</v>
      </c>
    </row>
    <row r="45" spans="1:7" s="1" customFormat="1" ht="15" x14ac:dyDescent="0.25">
      <c r="A45" s="5"/>
      <c r="B45" s="9" t="s">
        <v>236</v>
      </c>
      <c r="C45" s="10">
        <v>3768937341</v>
      </c>
      <c r="D45" s="11">
        <v>1.2234700000000001</v>
      </c>
      <c r="E45" s="10">
        <v>4611173</v>
      </c>
      <c r="F45" s="10">
        <v>176210</v>
      </c>
      <c r="G45" s="10">
        <v>4787383</v>
      </c>
    </row>
    <row r="46" spans="1:7" s="1" customFormat="1" ht="15" x14ac:dyDescent="0.25">
      <c r="A46" s="5"/>
      <c r="B46" s="6" t="s">
        <v>237</v>
      </c>
      <c r="C46" s="12">
        <v>926524446</v>
      </c>
      <c r="D46" s="13">
        <v>1.4741500000000001</v>
      </c>
      <c r="E46" s="12">
        <v>1365837</v>
      </c>
      <c r="F46" s="12">
        <v>123770</v>
      </c>
      <c r="G46" s="12">
        <v>1489607</v>
      </c>
    </row>
    <row r="47" spans="1:7" s="1" customFormat="1" ht="15" x14ac:dyDescent="0.25">
      <c r="A47" s="5"/>
      <c r="B47" s="9" t="s">
        <v>239</v>
      </c>
      <c r="C47" s="10">
        <v>3388760603</v>
      </c>
      <c r="D47" s="11">
        <v>1.2992699999999999</v>
      </c>
      <c r="E47" s="10">
        <v>4402919</v>
      </c>
      <c r="F47" s="10">
        <v>481215</v>
      </c>
      <c r="G47" s="10">
        <v>4884134</v>
      </c>
    </row>
    <row r="48" spans="1:7" s="1" customFormat="1" ht="15" x14ac:dyDescent="0.25">
      <c r="A48" s="5"/>
      <c r="B48" s="6" t="s">
        <v>240</v>
      </c>
      <c r="C48" s="12">
        <v>137792829</v>
      </c>
      <c r="D48" s="13">
        <v>0.57296999999999998</v>
      </c>
      <c r="E48" s="12">
        <v>78951</v>
      </c>
      <c r="F48" s="12">
        <v>0</v>
      </c>
      <c r="G48" s="12">
        <v>78951</v>
      </c>
    </row>
    <row r="49" spans="1:7" s="1" customFormat="1" ht="15" x14ac:dyDescent="0.25">
      <c r="A49" s="5"/>
      <c r="B49" s="9" t="s">
        <v>241</v>
      </c>
      <c r="C49" s="10">
        <v>768861409</v>
      </c>
      <c r="D49" s="11">
        <v>1.22685</v>
      </c>
      <c r="E49" s="10">
        <v>943281</v>
      </c>
      <c r="F49" s="10">
        <v>0</v>
      </c>
      <c r="G49" s="10">
        <v>943281</v>
      </c>
    </row>
    <row r="50" spans="1:7" s="1" customFormat="1" ht="15" x14ac:dyDescent="0.25">
      <c r="A50" s="5"/>
      <c r="B50" s="6" t="s">
        <v>18</v>
      </c>
      <c r="C50" s="12">
        <v>9543017146</v>
      </c>
      <c r="D50" s="13">
        <v>0.30386999999999997</v>
      </c>
      <c r="E50" s="12">
        <v>2899867</v>
      </c>
      <c r="F50" s="12">
        <v>0</v>
      </c>
      <c r="G50" s="12">
        <v>2899867</v>
      </c>
    </row>
    <row r="51" spans="1:7" s="1" customFormat="1" ht="15" x14ac:dyDescent="0.25">
      <c r="A51" s="5"/>
      <c r="B51" s="9" t="s">
        <v>19</v>
      </c>
      <c r="C51" s="10">
        <v>24765381379</v>
      </c>
      <c r="D51" s="11">
        <v>0.20436000000000001</v>
      </c>
      <c r="E51" s="10">
        <v>5061120</v>
      </c>
      <c r="F51" s="10">
        <v>0</v>
      </c>
      <c r="G51" s="10">
        <v>5061120</v>
      </c>
    </row>
    <row r="52" spans="1:7" s="1" customFormat="1" ht="15" x14ac:dyDescent="0.25">
      <c r="A52" s="5"/>
      <c r="B52" s="6" t="s">
        <v>20</v>
      </c>
      <c r="C52" s="12">
        <v>926524446</v>
      </c>
      <c r="D52" s="13">
        <v>0.49137999999999998</v>
      </c>
      <c r="E52" s="12">
        <v>455279</v>
      </c>
      <c r="F52" s="12">
        <v>0</v>
      </c>
      <c r="G52" s="12">
        <v>455279</v>
      </c>
    </row>
    <row r="53" spans="1:7" s="1" customFormat="1" ht="15" x14ac:dyDescent="0.25">
      <c r="A53" s="5"/>
      <c r="B53" s="9" t="s">
        <v>21</v>
      </c>
      <c r="C53" s="10">
        <v>3388760603</v>
      </c>
      <c r="D53" s="11">
        <v>0.49654999999999999</v>
      </c>
      <c r="E53" s="10">
        <v>1682683</v>
      </c>
      <c r="F53" s="10">
        <v>0</v>
      </c>
      <c r="G53" s="10">
        <v>1682683</v>
      </c>
    </row>
    <row r="54" spans="1:7" s="1" customFormat="1" ht="15" x14ac:dyDescent="0.25">
      <c r="A54" s="5"/>
      <c r="B54" s="6" t="s">
        <v>500</v>
      </c>
      <c r="C54" s="12">
        <v>1060201936</v>
      </c>
      <c r="D54" s="13">
        <v>0</v>
      </c>
      <c r="E54" s="12">
        <v>0</v>
      </c>
      <c r="F54" s="12">
        <v>62114</v>
      </c>
      <c r="G54" s="12">
        <v>62114</v>
      </c>
    </row>
    <row r="55" spans="1:7" s="1" customFormat="1" ht="15" x14ac:dyDescent="0.25">
      <c r="A55" s="5"/>
      <c r="B55" s="9" t="s">
        <v>316</v>
      </c>
      <c r="C55" s="10">
        <v>3872781256</v>
      </c>
      <c r="D55" s="11">
        <v>1.8239999999999999E-2</v>
      </c>
      <c r="E55" s="10">
        <v>70643</v>
      </c>
      <c r="F55" s="10">
        <v>0</v>
      </c>
      <c r="G55" s="10">
        <v>70643</v>
      </c>
    </row>
    <row r="56" spans="1:7" s="1" customFormat="1" ht="15" x14ac:dyDescent="0.25">
      <c r="A56" s="5"/>
      <c r="B56" s="6" t="s">
        <v>317</v>
      </c>
      <c r="C56" s="12">
        <v>1823636837</v>
      </c>
      <c r="D56" s="13">
        <v>1.2690699999999999</v>
      </c>
      <c r="E56" s="12">
        <v>2314322</v>
      </c>
      <c r="F56" s="12">
        <v>0</v>
      </c>
      <c r="G56" s="12">
        <v>2314322</v>
      </c>
    </row>
    <row r="57" spans="1:7" s="1" customFormat="1" ht="15" x14ac:dyDescent="0.25">
      <c r="A57" s="5"/>
      <c r="B57" s="2" t="s">
        <v>538</v>
      </c>
      <c r="C57" s="14"/>
      <c r="D57" s="15"/>
      <c r="E57" s="14"/>
      <c r="F57" s="14"/>
      <c r="G57" s="16">
        <f>SUM(G42:G56)</f>
        <v>31729527</v>
      </c>
    </row>
    <row r="58" spans="1:7" s="1" customFormat="1" ht="13.5" x14ac:dyDescent="0.25">
      <c r="A58" s="5"/>
      <c r="B58" s="5"/>
      <c r="C58" s="17"/>
      <c r="D58" s="18"/>
      <c r="E58" s="17"/>
      <c r="F58" s="17"/>
      <c r="G58" s="19"/>
    </row>
    <row r="59" spans="1:7" s="1" customFormat="1" ht="15" x14ac:dyDescent="0.25">
      <c r="A59" s="2" t="s">
        <v>22</v>
      </c>
      <c r="B59" s="3"/>
      <c r="C59" s="3"/>
      <c r="D59" s="3"/>
      <c r="E59" s="3"/>
      <c r="F59" s="3"/>
      <c r="G59" s="4"/>
    </row>
    <row r="60" spans="1:7" s="1" customFormat="1" ht="15" x14ac:dyDescent="0.25">
      <c r="A60" s="5"/>
      <c r="B60" s="6" t="s">
        <v>318</v>
      </c>
      <c r="C60" s="12">
        <v>21808653466</v>
      </c>
      <c r="D60" s="13">
        <v>0.26461000000000001</v>
      </c>
      <c r="E60" s="12">
        <v>5770859</v>
      </c>
      <c r="F60" s="12">
        <v>0</v>
      </c>
      <c r="G60" s="12">
        <v>5770859</v>
      </c>
    </row>
    <row r="61" spans="1:7" s="1" customFormat="1" ht="15" x14ac:dyDescent="0.25">
      <c r="A61" s="5"/>
      <c r="B61" s="9" t="s">
        <v>23</v>
      </c>
      <c r="C61" s="10">
        <v>5191672677</v>
      </c>
      <c r="D61" s="11">
        <v>0.12825</v>
      </c>
      <c r="E61" s="10">
        <v>665854</v>
      </c>
      <c r="F61" s="10">
        <v>686842</v>
      </c>
      <c r="G61" s="10">
        <v>1352696</v>
      </c>
    </row>
    <row r="62" spans="1:7" s="1" customFormat="1" ht="15" x14ac:dyDescent="0.25">
      <c r="A62" s="5"/>
      <c r="B62" s="6" t="s">
        <v>24</v>
      </c>
      <c r="C62" s="12">
        <v>6740193747</v>
      </c>
      <c r="D62" s="13">
        <v>0.14188999999999999</v>
      </c>
      <c r="E62" s="12">
        <v>956387</v>
      </c>
      <c r="F62" s="12">
        <v>1275486</v>
      </c>
      <c r="G62" s="12">
        <v>2231873</v>
      </c>
    </row>
    <row r="63" spans="1:7" s="1" customFormat="1" ht="15" x14ac:dyDescent="0.25">
      <c r="A63" s="5"/>
      <c r="B63" s="9" t="s">
        <v>238</v>
      </c>
      <c r="C63" s="10">
        <v>2368883621</v>
      </c>
      <c r="D63" s="11">
        <v>0.57943</v>
      </c>
      <c r="E63" s="10">
        <v>1372605</v>
      </c>
      <c r="F63" s="10">
        <v>0</v>
      </c>
      <c r="G63" s="10">
        <v>1372605</v>
      </c>
    </row>
    <row r="64" spans="1:7" s="1" customFormat="1" ht="15" x14ac:dyDescent="0.25">
      <c r="A64" s="5"/>
      <c r="B64" s="6" t="s">
        <v>240</v>
      </c>
      <c r="C64" s="12">
        <v>1978689960</v>
      </c>
      <c r="D64" s="13">
        <v>0.41028999999999999</v>
      </c>
      <c r="E64" s="12">
        <v>811828</v>
      </c>
      <c r="F64" s="12">
        <v>0</v>
      </c>
      <c r="G64" s="12">
        <v>811828</v>
      </c>
    </row>
    <row r="65" spans="1:7" s="1" customFormat="1" ht="15" x14ac:dyDescent="0.25">
      <c r="A65" s="5"/>
      <c r="B65" s="9" t="s">
        <v>241</v>
      </c>
      <c r="C65" s="10">
        <v>1396144310</v>
      </c>
      <c r="D65" s="11">
        <v>0.31561</v>
      </c>
      <c r="E65" s="10">
        <v>440636</v>
      </c>
      <c r="F65" s="10">
        <v>0</v>
      </c>
      <c r="G65" s="10">
        <v>440636</v>
      </c>
    </row>
    <row r="66" spans="1:7" s="1" customFormat="1" ht="15" x14ac:dyDescent="0.25">
      <c r="A66" s="5"/>
      <c r="B66" s="6" t="s">
        <v>319</v>
      </c>
      <c r="C66" s="12">
        <v>4580394510</v>
      </c>
      <c r="D66" s="13">
        <v>0.83650999999999998</v>
      </c>
      <c r="E66" s="12">
        <v>3831540</v>
      </c>
      <c r="F66" s="12">
        <v>0</v>
      </c>
      <c r="G66" s="12">
        <v>3831540</v>
      </c>
    </row>
    <row r="67" spans="1:7" s="1" customFormat="1" ht="15" x14ac:dyDescent="0.25">
      <c r="A67" s="5"/>
      <c r="B67" s="9" t="s">
        <v>320</v>
      </c>
      <c r="C67" s="10">
        <v>607648113</v>
      </c>
      <c r="D67" s="11">
        <v>0.56904999999999994</v>
      </c>
      <c r="E67" s="10">
        <v>345783</v>
      </c>
      <c r="F67" s="10">
        <v>52419</v>
      </c>
      <c r="G67" s="10">
        <v>398202</v>
      </c>
    </row>
    <row r="68" spans="1:7" s="1" customFormat="1" ht="15" x14ac:dyDescent="0.25">
      <c r="A68" s="5"/>
      <c r="B68" s="6" t="s">
        <v>321</v>
      </c>
      <c r="C68" s="12">
        <v>1990256485</v>
      </c>
      <c r="D68" s="13">
        <v>0.56725999999999999</v>
      </c>
      <c r="E68" s="12">
        <v>1128993</v>
      </c>
      <c r="F68" s="12">
        <v>0</v>
      </c>
      <c r="G68" s="12">
        <v>1128993</v>
      </c>
    </row>
    <row r="69" spans="1:7" s="1" customFormat="1" ht="15" x14ac:dyDescent="0.25">
      <c r="A69" s="5"/>
      <c r="B69" s="9" t="s">
        <v>25</v>
      </c>
      <c r="C69" s="10">
        <v>21808653466</v>
      </c>
      <c r="D69" s="11">
        <v>0.15478</v>
      </c>
      <c r="E69" s="10">
        <v>3375616</v>
      </c>
      <c r="F69" s="10">
        <v>0</v>
      </c>
      <c r="G69" s="10">
        <v>3375616</v>
      </c>
    </row>
    <row r="70" spans="1:7" s="1" customFormat="1" ht="15" x14ac:dyDescent="0.25">
      <c r="A70" s="5"/>
      <c r="B70" s="6" t="s">
        <v>539</v>
      </c>
      <c r="C70" s="12">
        <v>5191672677</v>
      </c>
      <c r="D70" s="13">
        <v>0.33587</v>
      </c>
      <c r="E70" s="12">
        <v>1743703</v>
      </c>
      <c r="F70" s="12">
        <v>0</v>
      </c>
      <c r="G70" s="12">
        <v>1743703</v>
      </c>
    </row>
    <row r="71" spans="1:7" s="1" customFormat="1" ht="15" x14ac:dyDescent="0.25">
      <c r="A71" s="5"/>
      <c r="B71" s="9" t="s">
        <v>540</v>
      </c>
      <c r="C71" s="10">
        <v>6740193747</v>
      </c>
      <c r="D71" s="11">
        <v>0.26050000000000001</v>
      </c>
      <c r="E71" s="10">
        <v>1755848</v>
      </c>
      <c r="F71" s="10">
        <v>0</v>
      </c>
      <c r="G71" s="10">
        <v>1755848</v>
      </c>
    </row>
    <row r="72" spans="1:7" s="1" customFormat="1" ht="15" x14ac:dyDescent="0.25">
      <c r="A72" s="5"/>
      <c r="B72" s="6" t="s">
        <v>26</v>
      </c>
      <c r="C72" s="12">
        <v>2003068014</v>
      </c>
      <c r="D72" s="13">
        <v>0.17373</v>
      </c>
      <c r="E72" s="12">
        <v>348000</v>
      </c>
      <c r="F72" s="12">
        <v>0</v>
      </c>
      <c r="G72" s="12">
        <v>348000</v>
      </c>
    </row>
    <row r="73" spans="1:7" s="1" customFormat="1" ht="15" x14ac:dyDescent="0.25">
      <c r="A73" s="5"/>
      <c r="B73" s="9" t="s">
        <v>27</v>
      </c>
      <c r="C73" s="10">
        <v>2709518193</v>
      </c>
      <c r="D73" s="11">
        <v>6.9320000000000007E-2</v>
      </c>
      <c r="E73" s="10">
        <v>187814</v>
      </c>
      <c r="F73" s="10">
        <v>0</v>
      </c>
      <c r="G73" s="10">
        <v>187814</v>
      </c>
    </row>
    <row r="74" spans="1:7" s="1" customFormat="1" ht="15" x14ac:dyDescent="0.25">
      <c r="A74" s="5"/>
      <c r="B74" s="6" t="s">
        <v>28</v>
      </c>
      <c r="C74" s="12">
        <v>504641738</v>
      </c>
      <c r="D74" s="13">
        <v>3.5830000000000001E-2</v>
      </c>
      <c r="E74" s="12">
        <v>18081</v>
      </c>
      <c r="F74" s="12">
        <v>0</v>
      </c>
      <c r="G74" s="12">
        <v>18081</v>
      </c>
    </row>
    <row r="75" spans="1:7" s="1" customFormat="1" ht="15" x14ac:dyDescent="0.25">
      <c r="A75" s="5"/>
      <c r="B75" s="9" t="s">
        <v>29</v>
      </c>
      <c r="C75" s="10">
        <v>474332782</v>
      </c>
      <c r="D75" s="11">
        <v>4.4630000000000003E-2</v>
      </c>
      <c r="E75" s="10">
        <v>21171</v>
      </c>
      <c r="F75" s="10">
        <v>0</v>
      </c>
      <c r="G75" s="10">
        <v>21171</v>
      </c>
    </row>
    <row r="76" spans="1:7" s="1" customFormat="1" ht="15" x14ac:dyDescent="0.25">
      <c r="A76" s="5"/>
      <c r="B76" s="6" t="s">
        <v>30</v>
      </c>
      <c r="C76" s="12">
        <v>1584469753</v>
      </c>
      <c r="D76" s="13">
        <v>3.1629999999999998E-2</v>
      </c>
      <c r="E76" s="12">
        <v>50114</v>
      </c>
      <c r="F76" s="12">
        <v>0</v>
      </c>
      <c r="G76" s="12">
        <v>50114</v>
      </c>
    </row>
    <row r="77" spans="1:7" s="1" customFormat="1" ht="15" x14ac:dyDescent="0.25">
      <c r="A77" s="5"/>
      <c r="B77" s="9" t="s">
        <v>31</v>
      </c>
      <c r="C77" s="10">
        <v>6740087945</v>
      </c>
      <c r="D77" s="11">
        <v>3.2239999999999998E-2</v>
      </c>
      <c r="E77" s="10">
        <v>217306</v>
      </c>
      <c r="F77" s="10">
        <v>0</v>
      </c>
      <c r="G77" s="10">
        <v>217306</v>
      </c>
    </row>
    <row r="78" spans="1:7" s="1" customFormat="1" ht="15" x14ac:dyDescent="0.25">
      <c r="A78" s="5"/>
      <c r="B78" s="6" t="s">
        <v>32</v>
      </c>
      <c r="C78" s="12">
        <v>89013437</v>
      </c>
      <c r="D78" s="13">
        <v>3.6179999999999997E-2</v>
      </c>
      <c r="E78" s="12">
        <v>3221</v>
      </c>
      <c r="F78" s="12">
        <v>0</v>
      </c>
      <c r="G78" s="12">
        <v>3221</v>
      </c>
    </row>
    <row r="79" spans="1:7" s="1" customFormat="1" ht="15" x14ac:dyDescent="0.25">
      <c r="A79" s="5"/>
      <c r="B79" s="9" t="s">
        <v>33</v>
      </c>
      <c r="C79" s="10">
        <v>21808653466</v>
      </c>
      <c r="D79" s="11">
        <v>3.8350000000000002E-2</v>
      </c>
      <c r="E79" s="10">
        <v>836407</v>
      </c>
      <c r="F79" s="10">
        <v>0</v>
      </c>
      <c r="G79" s="10">
        <v>836407</v>
      </c>
    </row>
    <row r="80" spans="1:7" s="1" customFormat="1" ht="15" x14ac:dyDescent="0.25">
      <c r="A80" s="5"/>
      <c r="B80" s="6" t="s">
        <v>541</v>
      </c>
      <c r="C80" s="12">
        <v>7904959851</v>
      </c>
      <c r="D80" s="13">
        <v>1.4318500000000001</v>
      </c>
      <c r="E80" s="12">
        <v>11318743</v>
      </c>
      <c r="F80" s="12">
        <v>0</v>
      </c>
      <c r="G80" s="12">
        <v>11318743</v>
      </c>
    </row>
    <row r="81" spans="1:7" s="1" customFormat="1" ht="15" x14ac:dyDescent="0.25">
      <c r="A81" s="5"/>
      <c r="B81" s="2" t="s">
        <v>538</v>
      </c>
      <c r="C81" s="14"/>
      <c r="D81" s="15"/>
      <c r="E81" s="14"/>
      <c r="F81" s="14"/>
      <c r="G81" s="16">
        <f>SUM(G60:G80)</f>
        <v>37215256</v>
      </c>
    </row>
    <row r="82" spans="1:7" s="1" customFormat="1" ht="13.5" x14ac:dyDescent="0.25">
      <c r="A82" s="5"/>
      <c r="B82" s="5"/>
      <c r="C82" s="17"/>
      <c r="D82" s="18"/>
      <c r="E82" s="17"/>
      <c r="F82" s="17"/>
      <c r="G82" s="19"/>
    </row>
    <row r="83" spans="1:7" s="1" customFormat="1" ht="15" x14ac:dyDescent="0.25">
      <c r="A83" s="2" t="s">
        <v>34</v>
      </c>
      <c r="B83" s="3"/>
      <c r="C83" s="3"/>
      <c r="D83" s="3"/>
      <c r="E83" s="3"/>
      <c r="F83" s="3"/>
      <c r="G83" s="4"/>
    </row>
    <row r="84" spans="1:7" s="1" customFormat="1" ht="15" x14ac:dyDescent="0.25">
      <c r="A84" s="5"/>
      <c r="B84" s="6" t="s">
        <v>35</v>
      </c>
      <c r="C84" s="12">
        <v>16054804180</v>
      </c>
      <c r="D84" s="13">
        <v>0.29361999999999999</v>
      </c>
      <c r="E84" s="12">
        <v>4714054</v>
      </c>
      <c r="F84" s="12">
        <v>0</v>
      </c>
      <c r="G84" s="12">
        <v>4714054</v>
      </c>
    </row>
    <row r="85" spans="1:7" s="1" customFormat="1" ht="15" x14ac:dyDescent="0.25">
      <c r="A85" s="5"/>
      <c r="B85" s="9" t="s">
        <v>57</v>
      </c>
      <c r="C85" s="10">
        <v>897993192</v>
      </c>
      <c r="D85" s="11">
        <v>0.39839999999999998</v>
      </c>
      <c r="E85" s="10">
        <v>357758</v>
      </c>
      <c r="F85" s="10">
        <v>0</v>
      </c>
      <c r="G85" s="10">
        <v>357758</v>
      </c>
    </row>
    <row r="86" spans="1:7" s="1" customFormat="1" ht="15" x14ac:dyDescent="0.25">
      <c r="A86" s="5"/>
      <c r="B86" s="6" t="s">
        <v>64</v>
      </c>
      <c r="C86" s="12">
        <v>15156810988</v>
      </c>
      <c r="D86" s="13">
        <v>0.31769999999999998</v>
      </c>
      <c r="E86" s="12">
        <v>4815348</v>
      </c>
      <c r="F86" s="12">
        <v>0</v>
      </c>
      <c r="G86" s="12">
        <v>4815348</v>
      </c>
    </row>
    <row r="87" spans="1:7" s="1" customFormat="1" ht="15" x14ac:dyDescent="0.25">
      <c r="A87" s="5"/>
      <c r="B87" s="9" t="s">
        <v>236</v>
      </c>
      <c r="C87" s="10">
        <v>604897309</v>
      </c>
      <c r="D87" s="11">
        <v>0.47900999999999999</v>
      </c>
      <c r="E87" s="10">
        <v>289754</v>
      </c>
      <c r="F87" s="10">
        <v>0</v>
      </c>
      <c r="G87" s="10">
        <v>289754</v>
      </c>
    </row>
    <row r="88" spans="1:7" s="1" customFormat="1" ht="15" x14ac:dyDescent="0.25">
      <c r="A88" s="5"/>
      <c r="B88" s="6" t="s">
        <v>237</v>
      </c>
      <c r="C88" s="12">
        <v>2136997887</v>
      </c>
      <c r="D88" s="13">
        <v>0.96275999999999995</v>
      </c>
      <c r="E88" s="12">
        <v>2057417</v>
      </c>
      <c r="F88" s="12">
        <v>0</v>
      </c>
      <c r="G88" s="12">
        <v>2057417</v>
      </c>
    </row>
    <row r="89" spans="1:7" s="1" customFormat="1" ht="15" x14ac:dyDescent="0.25">
      <c r="A89" s="5"/>
      <c r="B89" s="9" t="s">
        <v>238</v>
      </c>
      <c r="C89" s="10">
        <v>9200373677</v>
      </c>
      <c r="D89" s="11">
        <v>1.12001</v>
      </c>
      <c r="E89" s="10">
        <v>10304554</v>
      </c>
      <c r="F89" s="10">
        <v>0</v>
      </c>
      <c r="G89" s="10">
        <v>10304554</v>
      </c>
    </row>
    <row r="90" spans="1:7" s="1" customFormat="1" ht="15" x14ac:dyDescent="0.25">
      <c r="A90" s="5"/>
      <c r="B90" s="6" t="s">
        <v>239</v>
      </c>
      <c r="C90" s="12">
        <v>478169486</v>
      </c>
      <c r="D90" s="13">
        <v>1.0437399999999999</v>
      </c>
      <c r="E90" s="12">
        <v>499086</v>
      </c>
      <c r="F90" s="12">
        <v>0</v>
      </c>
      <c r="G90" s="12">
        <v>499086</v>
      </c>
    </row>
    <row r="91" spans="1:7" s="1" customFormat="1" ht="15" x14ac:dyDescent="0.25">
      <c r="A91" s="5"/>
      <c r="B91" s="9" t="s">
        <v>240</v>
      </c>
      <c r="C91" s="10">
        <v>134286489</v>
      </c>
      <c r="D91" s="11">
        <v>0.46790999999999999</v>
      </c>
      <c r="E91" s="10">
        <v>62834</v>
      </c>
      <c r="F91" s="10">
        <v>0</v>
      </c>
      <c r="G91" s="10">
        <v>62834</v>
      </c>
    </row>
    <row r="92" spans="1:7" s="1" customFormat="1" ht="15" x14ac:dyDescent="0.25">
      <c r="A92" s="5"/>
      <c r="B92" s="6" t="s">
        <v>241</v>
      </c>
      <c r="C92" s="12">
        <v>74888779</v>
      </c>
      <c r="D92" s="13">
        <v>0.49509999999999998</v>
      </c>
      <c r="E92" s="12">
        <v>37078</v>
      </c>
      <c r="F92" s="12">
        <v>0</v>
      </c>
      <c r="G92" s="12">
        <v>37078</v>
      </c>
    </row>
    <row r="93" spans="1:7" s="1" customFormat="1" ht="15" x14ac:dyDescent="0.25">
      <c r="A93" s="5"/>
      <c r="B93" s="9" t="s">
        <v>537</v>
      </c>
      <c r="C93" s="10">
        <v>5866596748</v>
      </c>
      <c r="D93" s="11">
        <v>0.32213000000000003</v>
      </c>
      <c r="E93" s="10">
        <v>1889814</v>
      </c>
      <c r="F93" s="10">
        <v>0</v>
      </c>
      <c r="G93" s="10">
        <v>1889814</v>
      </c>
    </row>
    <row r="94" spans="1:7" s="1" customFormat="1" ht="15" x14ac:dyDescent="0.25">
      <c r="A94" s="5"/>
      <c r="B94" s="6" t="s">
        <v>36</v>
      </c>
      <c r="C94" s="12">
        <v>16054804180</v>
      </c>
      <c r="D94" s="13">
        <v>0.11051</v>
      </c>
      <c r="E94" s="12">
        <v>1774241</v>
      </c>
      <c r="F94" s="12">
        <v>0</v>
      </c>
      <c r="G94" s="12">
        <v>1774241</v>
      </c>
    </row>
    <row r="95" spans="1:7" s="1" customFormat="1" ht="15" x14ac:dyDescent="0.25">
      <c r="A95" s="5"/>
      <c r="B95" s="9" t="s">
        <v>322</v>
      </c>
      <c r="C95" s="10">
        <v>897993192</v>
      </c>
      <c r="D95" s="11">
        <v>0.23941999999999999</v>
      </c>
      <c r="E95" s="10">
        <v>214996</v>
      </c>
      <c r="F95" s="10">
        <v>0</v>
      </c>
      <c r="G95" s="10">
        <v>214996</v>
      </c>
    </row>
    <row r="96" spans="1:7" s="1" customFormat="1" ht="15" x14ac:dyDescent="0.25">
      <c r="A96" s="5"/>
      <c r="B96" s="6" t="s">
        <v>323</v>
      </c>
      <c r="C96" s="12">
        <v>9244466842</v>
      </c>
      <c r="D96" s="13">
        <v>0.35419</v>
      </c>
      <c r="E96" s="12">
        <v>3274258</v>
      </c>
      <c r="F96" s="12">
        <v>0</v>
      </c>
      <c r="G96" s="12">
        <v>3274258</v>
      </c>
    </row>
    <row r="97" spans="1:7" s="1" customFormat="1" ht="15" x14ac:dyDescent="0.25">
      <c r="A97" s="5"/>
      <c r="B97" s="2" t="s">
        <v>538</v>
      </c>
      <c r="C97" s="14"/>
      <c r="D97" s="15"/>
      <c r="E97" s="14"/>
      <c r="F97" s="14"/>
      <c r="G97" s="16">
        <f>SUM(G84:G96)</f>
        <v>30291192</v>
      </c>
    </row>
    <row r="98" spans="1:7" s="1" customFormat="1" ht="13.5" x14ac:dyDescent="0.25">
      <c r="A98" s="5"/>
      <c r="B98" s="5"/>
      <c r="C98" s="17"/>
      <c r="D98" s="18"/>
      <c r="E98" s="17"/>
      <c r="F98" s="17"/>
      <c r="G98" s="19"/>
    </row>
    <row r="99" spans="1:7" s="1" customFormat="1" ht="15" x14ac:dyDescent="0.25">
      <c r="A99" s="2" t="s">
        <v>37</v>
      </c>
      <c r="B99" s="3"/>
      <c r="C99" s="3"/>
      <c r="D99" s="3"/>
      <c r="E99" s="3"/>
      <c r="F99" s="3"/>
      <c r="G99" s="4"/>
    </row>
    <row r="100" spans="1:7" s="1" customFormat="1" ht="15" x14ac:dyDescent="0.25">
      <c r="A100" s="5"/>
      <c r="B100" s="6" t="s">
        <v>456</v>
      </c>
      <c r="C100" s="12">
        <v>97201130836</v>
      </c>
      <c r="D100" s="13">
        <v>0.26778999999999997</v>
      </c>
      <c r="E100" s="12">
        <v>26029207</v>
      </c>
      <c r="F100" s="12">
        <v>0</v>
      </c>
      <c r="G100" s="12">
        <v>26029207</v>
      </c>
    </row>
    <row r="101" spans="1:7" s="1" customFormat="1" ht="15" x14ac:dyDescent="0.25">
      <c r="A101" s="5"/>
      <c r="B101" s="9" t="s">
        <v>238</v>
      </c>
      <c r="C101" s="10">
        <v>9218245734</v>
      </c>
      <c r="D101" s="11">
        <v>1.1637999999999999</v>
      </c>
      <c r="E101" s="10">
        <v>10728149</v>
      </c>
      <c r="F101" s="10">
        <v>0</v>
      </c>
      <c r="G101" s="10">
        <v>10728149</v>
      </c>
    </row>
    <row r="102" spans="1:7" s="1" customFormat="1" ht="15" x14ac:dyDescent="0.25">
      <c r="A102" s="5"/>
      <c r="B102" s="6" t="s">
        <v>240</v>
      </c>
      <c r="C102" s="12">
        <v>17209496230</v>
      </c>
      <c r="D102" s="13">
        <v>1.27146</v>
      </c>
      <c r="E102" s="12">
        <v>21881134</v>
      </c>
      <c r="F102" s="12">
        <v>0</v>
      </c>
      <c r="G102" s="12">
        <v>21881134</v>
      </c>
    </row>
    <row r="103" spans="1:7" s="1" customFormat="1" ht="15" x14ac:dyDescent="0.25">
      <c r="A103" s="5"/>
      <c r="B103" s="9" t="s">
        <v>241</v>
      </c>
      <c r="C103" s="10">
        <v>14492843410</v>
      </c>
      <c r="D103" s="11">
        <v>1.1590400000000001</v>
      </c>
      <c r="E103" s="10">
        <v>16797729</v>
      </c>
      <c r="F103" s="10">
        <v>0</v>
      </c>
      <c r="G103" s="10">
        <v>16797729</v>
      </c>
    </row>
    <row r="104" spans="1:7" s="1" customFormat="1" ht="15" x14ac:dyDescent="0.25">
      <c r="A104" s="5"/>
      <c r="B104" s="6" t="s">
        <v>457</v>
      </c>
      <c r="C104" s="12">
        <v>2800336922</v>
      </c>
      <c r="D104" s="13">
        <v>1.0787599999999999</v>
      </c>
      <c r="E104" s="12">
        <v>3020879</v>
      </c>
      <c r="F104" s="12">
        <v>0</v>
      </c>
      <c r="G104" s="12">
        <v>3020879</v>
      </c>
    </row>
    <row r="105" spans="1:7" s="1" customFormat="1" ht="15" x14ac:dyDescent="0.25">
      <c r="A105" s="5"/>
      <c r="B105" s="9" t="s">
        <v>324</v>
      </c>
      <c r="C105" s="10">
        <v>1822446913</v>
      </c>
      <c r="D105" s="11">
        <v>1.38628</v>
      </c>
      <c r="E105" s="10">
        <v>2526427</v>
      </c>
      <c r="F105" s="10">
        <v>0</v>
      </c>
      <c r="G105" s="10">
        <v>2526427</v>
      </c>
    </row>
    <row r="106" spans="1:7" s="1" customFormat="1" ht="15" x14ac:dyDescent="0.25">
      <c r="A106" s="5"/>
      <c r="B106" s="6" t="s">
        <v>501</v>
      </c>
      <c r="C106" s="12">
        <v>10797956793</v>
      </c>
      <c r="D106" s="13">
        <v>1.2571000000000001</v>
      </c>
      <c r="E106" s="12">
        <v>13574099</v>
      </c>
      <c r="F106" s="12">
        <v>0</v>
      </c>
      <c r="G106" s="12">
        <v>13574099</v>
      </c>
    </row>
    <row r="107" spans="1:7" s="1" customFormat="1" ht="15" x14ac:dyDescent="0.25">
      <c r="A107" s="5"/>
      <c r="B107" s="9" t="s">
        <v>325</v>
      </c>
      <c r="C107" s="10">
        <v>682385713</v>
      </c>
      <c r="D107" s="11">
        <v>1.10425</v>
      </c>
      <c r="E107" s="10">
        <v>753525</v>
      </c>
      <c r="F107" s="10">
        <v>0</v>
      </c>
      <c r="G107" s="10">
        <v>753525</v>
      </c>
    </row>
    <row r="108" spans="1:7" s="1" customFormat="1" ht="15" x14ac:dyDescent="0.25">
      <c r="A108" s="5"/>
      <c r="B108" s="6" t="s">
        <v>38</v>
      </c>
      <c r="C108" s="12">
        <v>31805960349</v>
      </c>
      <c r="D108" s="13">
        <v>0.13256000000000001</v>
      </c>
      <c r="E108" s="12">
        <v>4216179</v>
      </c>
      <c r="F108" s="12">
        <v>0</v>
      </c>
      <c r="G108" s="12">
        <v>4216179</v>
      </c>
    </row>
    <row r="109" spans="1:7" s="1" customFormat="1" ht="15" x14ac:dyDescent="0.25">
      <c r="A109" s="5"/>
      <c r="B109" s="9" t="s">
        <v>39</v>
      </c>
      <c r="C109" s="10">
        <v>64239489030</v>
      </c>
      <c r="D109" s="11">
        <v>0.20846999999999999</v>
      </c>
      <c r="E109" s="10">
        <v>13391964</v>
      </c>
      <c r="F109" s="10">
        <v>0</v>
      </c>
      <c r="G109" s="10">
        <v>13391964</v>
      </c>
    </row>
    <row r="110" spans="1:7" s="1" customFormat="1" ht="15" x14ac:dyDescent="0.25">
      <c r="A110" s="5"/>
      <c r="B110" s="6" t="s">
        <v>547</v>
      </c>
      <c r="C110" s="12">
        <v>13218644759</v>
      </c>
      <c r="D110" s="13">
        <v>0.22839000000000001</v>
      </c>
      <c r="E110" s="12">
        <v>3019042</v>
      </c>
      <c r="F110" s="12">
        <v>0</v>
      </c>
      <c r="G110" s="12">
        <v>3019042</v>
      </c>
    </row>
    <row r="111" spans="1:7" s="1" customFormat="1" ht="15" x14ac:dyDescent="0.25">
      <c r="A111" s="5"/>
      <c r="B111" s="9" t="s">
        <v>40</v>
      </c>
      <c r="C111" s="10">
        <v>7141504577</v>
      </c>
      <c r="D111" s="11">
        <v>0.12382</v>
      </c>
      <c r="E111" s="10">
        <v>884253</v>
      </c>
      <c r="F111" s="10">
        <v>0</v>
      </c>
      <c r="G111" s="10">
        <v>884253</v>
      </c>
    </row>
    <row r="112" spans="1:7" s="1" customFormat="1" ht="15" x14ac:dyDescent="0.25">
      <c r="A112" s="5"/>
      <c r="B112" s="6" t="s">
        <v>526</v>
      </c>
      <c r="C112" s="12">
        <v>10822863681</v>
      </c>
      <c r="D112" s="13">
        <v>0.47426000000000001</v>
      </c>
      <c r="E112" s="12">
        <v>5132845</v>
      </c>
      <c r="F112" s="12">
        <v>0</v>
      </c>
      <c r="G112" s="12">
        <v>5132845</v>
      </c>
    </row>
    <row r="113" spans="1:7" s="1" customFormat="1" ht="15" x14ac:dyDescent="0.25">
      <c r="A113" s="5"/>
      <c r="B113" s="9" t="s">
        <v>41</v>
      </c>
      <c r="C113" s="10">
        <v>14494696650</v>
      </c>
      <c r="D113" s="11">
        <v>0.43303999999999998</v>
      </c>
      <c r="E113" s="10">
        <v>6276794</v>
      </c>
      <c r="F113" s="10">
        <v>0</v>
      </c>
      <c r="G113" s="10">
        <v>6276794</v>
      </c>
    </row>
    <row r="114" spans="1:7" s="1" customFormat="1" ht="15" x14ac:dyDescent="0.25">
      <c r="A114" s="5"/>
      <c r="B114" s="6" t="s">
        <v>42</v>
      </c>
      <c r="C114" s="12">
        <v>2803586710</v>
      </c>
      <c r="D114" s="13">
        <v>0.25723000000000001</v>
      </c>
      <c r="E114" s="12">
        <v>721177</v>
      </c>
      <c r="F114" s="12">
        <v>0</v>
      </c>
      <c r="G114" s="12">
        <v>721177</v>
      </c>
    </row>
    <row r="115" spans="1:7" s="1" customFormat="1" ht="15" x14ac:dyDescent="0.25">
      <c r="A115" s="5"/>
      <c r="B115" s="9" t="s">
        <v>527</v>
      </c>
      <c r="C115" s="10">
        <v>2740724795</v>
      </c>
      <c r="D115" s="11">
        <v>0.36810999999999999</v>
      </c>
      <c r="E115" s="10">
        <v>1008878</v>
      </c>
      <c r="F115" s="10">
        <v>0</v>
      </c>
      <c r="G115" s="10">
        <v>1008878</v>
      </c>
    </row>
    <row r="116" spans="1:7" s="1" customFormat="1" ht="15" x14ac:dyDescent="0.25">
      <c r="A116" s="5"/>
      <c r="B116" s="6" t="s">
        <v>43</v>
      </c>
      <c r="C116" s="12">
        <v>7965418011</v>
      </c>
      <c r="D116" s="13">
        <v>0.32804</v>
      </c>
      <c r="E116" s="12">
        <v>2612949</v>
      </c>
      <c r="F116" s="12">
        <v>0</v>
      </c>
      <c r="G116" s="12">
        <v>2612949</v>
      </c>
    </row>
    <row r="117" spans="1:7" s="1" customFormat="1" ht="15" x14ac:dyDescent="0.25">
      <c r="A117" s="5"/>
      <c r="B117" s="9" t="s">
        <v>430</v>
      </c>
      <c r="C117" s="10">
        <v>3517107814</v>
      </c>
      <c r="D117" s="11">
        <v>0.5</v>
      </c>
      <c r="E117" s="10">
        <v>1758554</v>
      </c>
      <c r="F117" s="10">
        <v>0</v>
      </c>
      <c r="G117" s="10">
        <v>1758554</v>
      </c>
    </row>
    <row r="118" spans="1:7" s="1" customFormat="1" ht="15" x14ac:dyDescent="0.25">
      <c r="A118" s="5"/>
      <c r="B118" s="6" t="s">
        <v>458</v>
      </c>
      <c r="C118" s="12">
        <v>208498737</v>
      </c>
      <c r="D118" s="13">
        <v>0.35960999999999999</v>
      </c>
      <c r="E118" s="12">
        <v>74977</v>
      </c>
      <c r="F118" s="12">
        <v>0</v>
      </c>
      <c r="G118" s="12">
        <v>74977</v>
      </c>
    </row>
    <row r="119" spans="1:7" s="1" customFormat="1" ht="15" x14ac:dyDescent="0.25">
      <c r="A119" s="5"/>
      <c r="B119" s="9" t="s">
        <v>28</v>
      </c>
      <c r="C119" s="10">
        <v>2719110546</v>
      </c>
      <c r="D119" s="11">
        <v>9.1800000000000007E-3</v>
      </c>
      <c r="E119" s="10">
        <v>24954</v>
      </c>
      <c r="F119" s="10">
        <v>0</v>
      </c>
      <c r="G119" s="10">
        <v>24954</v>
      </c>
    </row>
    <row r="120" spans="1:7" s="1" customFormat="1" ht="15" x14ac:dyDescent="0.25">
      <c r="A120" s="5"/>
      <c r="B120" s="6" t="s">
        <v>31</v>
      </c>
      <c r="C120" s="12">
        <v>1146435833</v>
      </c>
      <c r="D120" s="13">
        <v>5.0270000000000002E-2</v>
      </c>
      <c r="E120" s="12">
        <v>57627</v>
      </c>
      <c r="F120" s="12">
        <v>0</v>
      </c>
      <c r="G120" s="12">
        <v>57627</v>
      </c>
    </row>
    <row r="121" spans="1:7" s="1" customFormat="1" ht="15" x14ac:dyDescent="0.25">
      <c r="A121" s="5"/>
      <c r="B121" s="9" t="s">
        <v>32</v>
      </c>
      <c r="C121" s="10">
        <v>440097747</v>
      </c>
      <c r="D121" s="11">
        <v>6.2719999999999998E-2</v>
      </c>
      <c r="E121" s="10">
        <v>27602</v>
      </c>
      <c r="F121" s="10">
        <v>0</v>
      </c>
      <c r="G121" s="10">
        <v>27602</v>
      </c>
    </row>
    <row r="122" spans="1:7" s="1" customFormat="1" ht="15" x14ac:dyDescent="0.25">
      <c r="A122" s="5"/>
      <c r="B122" s="6" t="s">
        <v>44</v>
      </c>
      <c r="C122" s="12">
        <v>6964650156</v>
      </c>
      <c r="D122" s="13">
        <v>1.985E-2</v>
      </c>
      <c r="E122" s="12">
        <v>138279</v>
      </c>
      <c r="F122" s="12">
        <v>0</v>
      </c>
      <c r="G122" s="12">
        <v>138279</v>
      </c>
    </row>
    <row r="123" spans="1:7" s="1" customFormat="1" ht="15" x14ac:dyDescent="0.25">
      <c r="A123" s="5"/>
      <c r="B123" s="9" t="s">
        <v>548</v>
      </c>
      <c r="C123" s="10">
        <v>33334168490</v>
      </c>
      <c r="D123" s="11">
        <v>0</v>
      </c>
      <c r="E123" s="10">
        <v>0</v>
      </c>
      <c r="F123" s="10">
        <v>3371176</v>
      </c>
      <c r="G123" s="10">
        <v>3371176</v>
      </c>
    </row>
    <row r="124" spans="1:7" s="1" customFormat="1" ht="15" x14ac:dyDescent="0.25">
      <c r="A124" s="5"/>
      <c r="B124" s="20" t="s">
        <v>538</v>
      </c>
      <c r="C124" s="21"/>
      <c r="D124" s="22"/>
      <c r="E124" s="21"/>
      <c r="F124" s="21"/>
      <c r="G124" s="23">
        <f>SUM(G100:G123)</f>
        <v>138028399</v>
      </c>
    </row>
    <row r="125" spans="1:7" s="1" customFormat="1" ht="13.5" x14ac:dyDescent="0.25">
      <c r="A125" s="5"/>
      <c r="B125" s="5"/>
      <c r="C125" s="17"/>
      <c r="D125" s="18"/>
      <c r="E125" s="17"/>
      <c r="F125" s="17"/>
      <c r="G125" s="19"/>
    </row>
    <row r="126" spans="1:7" s="1" customFormat="1" ht="15" x14ac:dyDescent="0.25">
      <c r="A126" s="2" t="s">
        <v>45</v>
      </c>
      <c r="B126" s="3"/>
      <c r="C126" s="3"/>
      <c r="D126" s="3"/>
      <c r="E126" s="3"/>
      <c r="F126" s="3"/>
      <c r="G126" s="4"/>
    </row>
    <row r="127" spans="1:7" s="1" customFormat="1" ht="15" x14ac:dyDescent="0.25">
      <c r="A127" s="5"/>
      <c r="B127" s="6" t="s">
        <v>459</v>
      </c>
      <c r="C127" s="12">
        <v>1032086833</v>
      </c>
      <c r="D127" s="13">
        <v>0.46405000000000002</v>
      </c>
      <c r="E127" s="12">
        <v>478940</v>
      </c>
      <c r="F127" s="12">
        <v>0</v>
      </c>
      <c r="G127" s="12">
        <v>478940</v>
      </c>
    </row>
    <row r="128" spans="1:7" s="1" customFormat="1" ht="15" x14ac:dyDescent="0.25">
      <c r="A128" s="5"/>
      <c r="B128" s="9" t="s">
        <v>460</v>
      </c>
      <c r="C128" s="10">
        <v>1042670525</v>
      </c>
      <c r="D128" s="11">
        <v>0.5</v>
      </c>
      <c r="E128" s="10">
        <v>521335</v>
      </c>
      <c r="F128" s="10">
        <v>660161</v>
      </c>
      <c r="G128" s="10">
        <v>1181496</v>
      </c>
    </row>
    <row r="129" spans="1:7" s="1" customFormat="1" ht="15" x14ac:dyDescent="0.25">
      <c r="A129" s="5"/>
      <c r="B129" s="6" t="s">
        <v>236</v>
      </c>
      <c r="C129" s="12">
        <v>211741391</v>
      </c>
      <c r="D129" s="13">
        <v>1.19069</v>
      </c>
      <c r="E129" s="12">
        <v>252119</v>
      </c>
      <c r="F129" s="12">
        <v>0</v>
      </c>
      <c r="G129" s="12">
        <v>252119</v>
      </c>
    </row>
    <row r="130" spans="1:7" s="1" customFormat="1" ht="15" x14ac:dyDescent="0.25">
      <c r="A130" s="5"/>
      <c r="B130" s="9" t="s">
        <v>237</v>
      </c>
      <c r="C130" s="10">
        <v>83808887</v>
      </c>
      <c r="D130" s="11">
        <v>0.85667000000000004</v>
      </c>
      <c r="E130" s="10">
        <v>71797</v>
      </c>
      <c r="F130" s="10">
        <v>0</v>
      </c>
      <c r="G130" s="10">
        <v>71797</v>
      </c>
    </row>
    <row r="131" spans="1:7" s="1" customFormat="1" ht="15" x14ac:dyDescent="0.25">
      <c r="A131" s="5"/>
      <c r="B131" s="6" t="s">
        <v>238</v>
      </c>
      <c r="C131" s="12">
        <v>689458270</v>
      </c>
      <c r="D131" s="13">
        <v>0.94964999999999999</v>
      </c>
      <c r="E131" s="12">
        <v>654741</v>
      </c>
      <c r="F131" s="12">
        <v>0</v>
      </c>
      <c r="G131" s="12">
        <v>654741</v>
      </c>
    </row>
    <row r="132" spans="1:7" s="1" customFormat="1" ht="15" x14ac:dyDescent="0.25">
      <c r="A132" s="5"/>
      <c r="B132" s="9" t="s">
        <v>46</v>
      </c>
      <c r="C132" s="10">
        <v>1042670525</v>
      </c>
      <c r="D132" s="11">
        <v>0.44901999999999997</v>
      </c>
      <c r="E132" s="10">
        <v>468177</v>
      </c>
      <c r="F132" s="10">
        <v>0</v>
      </c>
      <c r="G132" s="10">
        <v>468177</v>
      </c>
    </row>
    <row r="133" spans="1:7" s="1" customFormat="1" ht="15" x14ac:dyDescent="0.25">
      <c r="A133" s="5"/>
      <c r="B133" s="6" t="s">
        <v>444</v>
      </c>
      <c r="C133" s="12">
        <v>1042670525</v>
      </c>
      <c r="D133" s="13">
        <v>0.5</v>
      </c>
      <c r="E133" s="12">
        <v>521348</v>
      </c>
      <c r="F133" s="12">
        <v>0</v>
      </c>
      <c r="G133" s="12">
        <v>521348</v>
      </c>
    </row>
    <row r="134" spans="1:7" s="1" customFormat="1" ht="15" x14ac:dyDescent="0.25">
      <c r="A134" s="5"/>
      <c r="B134" s="9" t="s">
        <v>47</v>
      </c>
      <c r="C134" s="10">
        <v>4632386</v>
      </c>
      <c r="D134" s="11">
        <v>0</v>
      </c>
      <c r="E134" s="10">
        <v>0</v>
      </c>
      <c r="F134" s="10">
        <v>1384</v>
      </c>
      <c r="G134" s="10">
        <v>1384</v>
      </c>
    </row>
    <row r="135" spans="1:7" s="1" customFormat="1" ht="15" x14ac:dyDescent="0.25">
      <c r="A135" s="5"/>
      <c r="B135" s="20" t="s">
        <v>538</v>
      </c>
      <c r="C135" s="21"/>
      <c r="D135" s="22"/>
      <c r="E135" s="21"/>
      <c r="F135" s="21"/>
      <c r="G135" s="23">
        <f>SUM(G127:G134)</f>
        <v>3630002</v>
      </c>
    </row>
    <row r="136" spans="1:7" s="1" customFormat="1" ht="13.5" x14ac:dyDescent="0.25">
      <c r="A136" s="5"/>
      <c r="B136" s="5"/>
      <c r="C136" s="17"/>
      <c r="D136" s="18"/>
      <c r="E136" s="17"/>
      <c r="F136" s="17"/>
      <c r="G136" s="19"/>
    </row>
    <row r="137" spans="1:7" s="1" customFormat="1" ht="15" x14ac:dyDescent="0.25">
      <c r="A137" s="2" t="s">
        <v>48</v>
      </c>
      <c r="B137" s="3"/>
      <c r="C137" s="3"/>
      <c r="D137" s="3"/>
      <c r="E137" s="3"/>
      <c r="F137" s="3"/>
      <c r="G137" s="4"/>
    </row>
    <row r="138" spans="1:7" s="1" customFormat="1" ht="15" x14ac:dyDescent="0.25">
      <c r="A138" s="5"/>
      <c r="B138" s="6" t="s">
        <v>461</v>
      </c>
      <c r="C138" s="12">
        <v>2235074847</v>
      </c>
      <c r="D138" s="13">
        <v>0.18834999999999999</v>
      </c>
      <c r="E138" s="12">
        <v>420979</v>
      </c>
      <c r="F138" s="12">
        <v>0</v>
      </c>
      <c r="G138" s="12">
        <v>420979</v>
      </c>
    </row>
    <row r="139" spans="1:7" s="1" customFormat="1" ht="15" x14ac:dyDescent="0.25">
      <c r="A139" s="5"/>
      <c r="B139" s="9" t="s">
        <v>456</v>
      </c>
      <c r="C139" s="10">
        <v>1196154245</v>
      </c>
      <c r="D139" s="11">
        <v>0.26778999999999997</v>
      </c>
      <c r="E139" s="10">
        <v>320315</v>
      </c>
      <c r="F139" s="10">
        <v>0</v>
      </c>
      <c r="G139" s="10">
        <v>320315</v>
      </c>
    </row>
    <row r="140" spans="1:7" s="1" customFormat="1" ht="15" x14ac:dyDescent="0.25">
      <c r="A140" s="5"/>
      <c r="B140" s="6" t="s">
        <v>462</v>
      </c>
      <c r="C140" s="12">
        <v>425149530</v>
      </c>
      <c r="D140" s="13">
        <v>0.31314999999999998</v>
      </c>
      <c r="E140" s="12">
        <v>133134</v>
      </c>
      <c r="F140" s="12">
        <v>0</v>
      </c>
      <c r="G140" s="12">
        <v>133134</v>
      </c>
    </row>
    <row r="141" spans="1:7" s="1" customFormat="1" ht="15" x14ac:dyDescent="0.25">
      <c r="A141" s="24"/>
      <c r="B141" s="9" t="s">
        <v>236</v>
      </c>
      <c r="C141" s="10">
        <v>1048639853</v>
      </c>
      <c r="D141" s="11">
        <v>1.0070600000000001</v>
      </c>
      <c r="E141" s="10">
        <v>1056039</v>
      </c>
      <c r="F141" s="10">
        <v>0</v>
      </c>
      <c r="G141" s="10">
        <v>1056039</v>
      </c>
    </row>
    <row r="142" spans="1:7" s="1" customFormat="1" ht="15" x14ac:dyDescent="0.25">
      <c r="A142" s="24"/>
      <c r="B142" s="6" t="s">
        <v>237</v>
      </c>
      <c r="C142" s="12">
        <v>5171318622</v>
      </c>
      <c r="D142" s="13">
        <v>1.39679</v>
      </c>
      <c r="E142" s="12">
        <v>7223224</v>
      </c>
      <c r="F142" s="12">
        <v>0</v>
      </c>
      <c r="G142" s="12">
        <v>7223224</v>
      </c>
    </row>
    <row r="143" spans="1:7" s="1" customFormat="1" ht="15" x14ac:dyDescent="0.25">
      <c r="A143" s="24"/>
      <c r="B143" s="9" t="s">
        <v>238</v>
      </c>
      <c r="C143" s="10">
        <v>672000309</v>
      </c>
      <c r="D143" s="11">
        <v>1.1975499999999999</v>
      </c>
      <c r="E143" s="10">
        <v>804752</v>
      </c>
      <c r="F143" s="10">
        <v>0</v>
      </c>
      <c r="G143" s="10">
        <v>804752</v>
      </c>
    </row>
    <row r="144" spans="1:7" s="1" customFormat="1" ht="15" x14ac:dyDescent="0.25">
      <c r="A144" s="24"/>
      <c r="B144" s="6" t="s">
        <v>367</v>
      </c>
      <c r="C144" s="12">
        <v>48813016</v>
      </c>
      <c r="D144" s="13">
        <v>1.29956</v>
      </c>
      <c r="E144" s="12">
        <v>63435</v>
      </c>
      <c r="F144" s="12">
        <v>0</v>
      </c>
      <c r="G144" s="12">
        <v>63435</v>
      </c>
    </row>
    <row r="145" spans="1:7" s="1" customFormat="1" ht="15" x14ac:dyDescent="0.25">
      <c r="A145" s="24"/>
      <c r="B145" s="9" t="s">
        <v>240</v>
      </c>
      <c r="C145" s="10">
        <v>2112003828</v>
      </c>
      <c r="D145" s="11">
        <v>0.94925000000000004</v>
      </c>
      <c r="E145" s="10">
        <v>2004821</v>
      </c>
      <c r="F145" s="10">
        <v>0</v>
      </c>
      <c r="G145" s="10">
        <v>2004821</v>
      </c>
    </row>
    <row r="146" spans="1:7" s="1" customFormat="1" ht="15" x14ac:dyDescent="0.25">
      <c r="A146" s="24"/>
      <c r="B146" s="6" t="s">
        <v>241</v>
      </c>
      <c r="C146" s="12">
        <v>1564862090</v>
      </c>
      <c r="D146" s="13">
        <v>1.2315400000000001</v>
      </c>
      <c r="E146" s="12">
        <v>1927196</v>
      </c>
      <c r="F146" s="12">
        <v>0</v>
      </c>
      <c r="G146" s="12">
        <v>1927196</v>
      </c>
    </row>
    <row r="147" spans="1:7" s="1" customFormat="1" ht="15" x14ac:dyDescent="0.25">
      <c r="A147" s="24"/>
      <c r="B147" s="9" t="s">
        <v>319</v>
      </c>
      <c r="C147" s="10">
        <v>403805440</v>
      </c>
      <c r="D147" s="11">
        <v>0.75809000000000004</v>
      </c>
      <c r="E147" s="10">
        <v>306119</v>
      </c>
      <c r="F147" s="10">
        <v>0</v>
      </c>
      <c r="G147" s="10">
        <v>306119</v>
      </c>
    </row>
    <row r="148" spans="1:7" s="1" customFormat="1" ht="15" x14ac:dyDescent="0.25">
      <c r="A148" s="24"/>
      <c r="B148" s="6" t="s">
        <v>549</v>
      </c>
      <c r="C148" s="12">
        <v>1196154245</v>
      </c>
      <c r="D148" s="13">
        <v>1.2571000000000001</v>
      </c>
      <c r="E148" s="12">
        <v>1503684</v>
      </c>
      <c r="F148" s="12">
        <v>0</v>
      </c>
      <c r="G148" s="12">
        <v>1503684</v>
      </c>
    </row>
    <row r="149" spans="1:7" s="1" customFormat="1" ht="15" x14ac:dyDescent="0.25">
      <c r="A149" s="24"/>
      <c r="B149" s="9" t="s">
        <v>49</v>
      </c>
      <c r="C149" s="10">
        <v>2668364811</v>
      </c>
      <c r="D149" s="11">
        <v>0.17680999999999999</v>
      </c>
      <c r="E149" s="10">
        <v>471789</v>
      </c>
      <c r="F149" s="10">
        <v>0</v>
      </c>
      <c r="G149" s="10">
        <v>471789</v>
      </c>
    </row>
    <row r="150" spans="1:7" s="1" customFormat="1" ht="15" x14ac:dyDescent="0.25">
      <c r="A150" s="24"/>
      <c r="B150" s="6" t="s">
        <v>50</v>
      </c>
      <c r="C150" s="12">
        <v>14213358669</v>
      </c>
      <c r="D150" s="13">
        <v>4.9959999999999997E-2</v>
      </c>
      <c r="E150" s="12">
        <v>710160</v>
      </c>
      <c r="F150" s="12">
        <v>0</v>
      </c>
      <c r="G150" s="12">
        <v>710160</v>
      </c>
    </row>
    <row r="151" spans="1:7" s="1" customFormat="1" ht="15" x14ac:dyDescent="0.25">
      <c r="A151" s="24"/>
      <c r="B151" s="9" t="s">
        <v>550</v>
      </c>
      <c r="C151" s="10">
        <v>426254117</v>
      </c>
      <c r="D151" s="11">
        <v>0.38686999999999999</v>
      </c>
      <c r="E151" s="10">
        <v>164906</v>
      </c>
      <c r="F151" s="10">
        <v>0</v>
      </c>
      <c r="G151" s="10">
        <v>164906</v>
      </c>
    </row>
    <row r="152" spans="1:7" s="1" customFormat="1" ht="15" x14ac:dyDescent="0.25">
      <c r="A152" s="24"/>
      <c r="B152" s="6" t="s">
        <v>51</v>
      </c>
      <c r="C152" s="12">
        <v>689754949</v>
      </c>
      <c r="D152" s="13">
        <v>0.25803999999999999</v>
      </c>
      <c r="E152" s="12">
        <v>177985</v>
      </c>
      <c r="F152" s="12">
        <v>0</v>
      </c>
      <c r="G152" s="12">
        <v>177985</v>
      </c>
    </row>
    <row r="153" spans="1:7" s="1" customFormat="1" ht="15" x14ac:dyDescent="0.25">
      <c r="A153" s="24"/>
      <c r="B153" s="9" t="s">
        <v>431</v>
      </c>
      <c r="C153" s="10">
        <v>49703226</v>
      </c>
      <c r="D153" s="11">
        <v>0.28748000000000001</v>
      </c>
      <c r="E153" s="10">
        <v>14289</v>
      </c>
      <c r="F153" s="10">
        <v>0</v>
      </c>
      <c r="G153" s="10">
        <v>14289</v>
      </c>
    </row>
    <row r="154" spans="1:7" s="1" customFormat="1" ht="15" x14ac:dyDescent="0.25">
      <c r="A154" s="24"/>
      <c r="B154" s="6" t="s">
        <v>528</v>
      </c>
      <c r="C154" s="12">
        <v>1196154245</v>
      </c>
      <c r="D154" s="13">
        <v>0.47426000000000001</v>
      </c>
      <c r="E154" s="12">
        <v>567287</v>
      </c>
      <c r="F154" s="12">
        <v>0</v>
      </c>
      <c r="G154" s="12">
        <v>567287</v>
      </c>
    </row>
    <row r="155" spans="1:7" s="1" customFormat="1" ht="15" x14ac:dyDescent="0.25">
      <c r="A155" s="24"/>
      <c r="B155" s="9" t="s">
        <v>28</v>
      </c>
      <c r="C155" s="10">
        <v>1455130721</v>
      </c>
      <c r="D155" s="11">
        <v>3.746E-2</v>
      </c>
      <c r="E155" s="10">
        <v>54507</v>
      </c>
      <c r="F155" s="10">
        <v>0</v>
      </c>
      <c r="G155" s="10">
        <v>54507</v>
      </c>
    </row>
    <row r="156" spans="1:7" s="1" customFormat="1" ht="15" x14ac:dyDescent="0.25">
      <c r="A156" s="24"/>
      <c r="B156" s="6" t="s">
        <v>29</v>
      </c>
      <c r="C156" s="12">
        <v>2687069763</v>
      </c>
      <c r="D156" s="13">
        <v>5.4309999999999997E-2</v>
      </c>
      <c r="E156" s="12">
        <v>145947</v>
      </c>
      <c r="F156" s="12">
        <v>0</v>
      </c>
      <c r="G156" s="12">
        <v>145947</v>
      </c>
    </row>
    <row r="157" spans="1:7" s="1" customFormat="1" ht="15" x14ac:dyDescent="0.25">
      <c r="A157" s="24"/>
      <c r="B157" s="9" t="s">
        <v>30</v>
      </c>
      <c r="C157" s="10">
        <v>703960068</v>
      </c>
      <c r="D157" s="11">
        <v>1.2630000000000001E-2</v>
      </c>
      <c r="E157" s="10">
        <v>8894</v>
      </c>
      <c r="F157" s="10">
        <v>0</v>
      </c>
      <c r="G157" s="10">
        <v>8894</v>
      </c>
    </row>
    <row r="158" spans="1:7" s="1" customFormat="1" ht="15" x14ac:dyDescent="0.25">
      <c r="A158" s="5"/>
      <c r="B158" s="6" t="s">
        <v>31</v>
      </c>
      <c r="C158" s="12">
        <v>374248507</v>
      </c>
      <c r="D158" s="13">
        <v>6.3519999999999993E-2</v>
      </c>
      <c r="E158" s="12">
        <v>23773</v>
      </c>
      <c r="F158" s="12">
        <v>0</v>
      </c>
      <c r="G158" s="12">
        <v>23773</v>
      </c>
    </row>
    <row r="159" spans="1:7" s="1" customFormat="1" ht="15" x14ac:dyDescent="0.25">
      <c r="A159" s="5"/>
      <c r="B159" s="9" t="s">
        <v>32</v>
      </c>
      <c r="C159" s="10">
        <v>1860113717</v>
      </c>
      <c r="D159" s="11">
        <v>6.8400000000000002E-2</v>
      </c>
      <c r="E159" s="10">
        <v>127230</v>
      </c>
      <c r="F159" s="10">
        <v>0</v>
      </c>
      <c r="G159" s="10">
        <v>127230</v>
      </c>
    </row>
    <row r="160" spans="1:7" s="1" customFormat="1" ht="15" x14ac:dyDescent="0.25">
      <c r="A160" s="5"/>
      <c r="B160" s="6" t="s">
        <v>44</v>
      </c>
      <c r="C160" s="12">
        <v>1218759449</v>
      </c>
      <c r="D160" s="13">
        <v>4.9230000000000003E-2</v>
      </c>
      <c r="E160" s="12">
        <v>60000</v>
      </c>
      <c r="F160" s="12">
        <v>0</v>
      </c>
      <c r="G160" s="12">
        <v>60000</v>
      </c>
    </row>
    <row r="161" spans="1:7" s="1" customFormat="1" ht="15" x14ac:dyDescent="0.25">
      <c r="A161" s="5"/>
      <c r="B161" s="9" t="s">
        <v>52</v>
      </c>
      <c r="C161" s="10">
        <v>131090367</v>
      </c>
      <c r="D161" s="11">
        <v>4.7669999999999997E-2</v>
      </c>
      <c r="E161" s="10">
        <v>6249</v>
      </c>
      <c r="F161" s="10">
        <v>0</v>
      </c>
      <c r="G161" s="10">
        <v>6249</v>
      </c>
    </row>
    <row r="162" spans="1:7" s="1" customFormat="1" ht="15" x14ac:dyDescent="0.25">
      <c r="A162" s="5"/>
      <c r="B162" s="6" t="s">
        <v>432</v>
      </c>
      <c r="C162" s="12">
        <v>5114260996</v>
      </c>
      <c r="D162" s="13">
        <v>0.15085000000000001</v>
      </c>
      <c r="E162" s="12">
        <v>771479</v>
      </c>
      <c r="F162" s="12">
        <v>0</v>
      </c>
      <c r="G162" s="12">
        <v>771479</v>
      </c>
    </row>
    <row r="163" spans="1:7" s="1" customFormat="1" ht="15" x14ac:dyDescent="0.25">
      <c r="A163" s="5"/>
      <c r="B163" s="2" t="s">
        <v>538</v>
      </c>
      <c r="C163" s="14"/>
      <c r="D163" s="15"/>
      <c r="E163" s="14"/>
      <c r="F163" s="14"/>
      <c r="G163" s="16">
        <f>SUM(G138:G162)</f>
        <v>19068193</v>
      </c>
    </row>
    <row r="164" spans="1:7" s="1" customFormat="1" ht="10.5" customHeight="1" x14ac:dyDescent="0.25">
      <c r="A164" s="5"/>
      <c r="B164" s="5"/>
      <c r="C164" s="17"/>
      <c r="D164" s="18"/>
      <c r="E164" s="17"/>
      <c r="F164" s="17"/>
      <c r="G164" s="19"/>
    </row>
    <row r="165" spans="1:7" s="1" customFormat="1" ht="15" x14ac:dyDescent="0.25">
      <c r="A165" s="2" t="s">
        <v>53</v>
      </c>
      <c r="B165" s="3"/>
      <c r="C165" s="3"/>
      <c r="D165" s="3"/>
      <c r="E165" s="3"/>
      <c r="F165" s="3"/>
      <c r="G165" s="4"/>
    </row>
    <row r="166" spans="1:7" s="1" customFormat="1" ht="15" x14ac:dyDescent="0.25">
      <c r="A166" s="5"/>
      <c r="B166" s="6" t="s">
        <v>318</v>
      </c>
      <c r="C166" s="12">
        <v>8988573974</v>
      </c>
      <c r="D166" s="13">
        <v>0.26461000000000001</v>
      </c>
      <c r="E166" s="12">
        <v>2378496</v>
      </c>
      <c r="F166" s="12">
        <v>0</v>
      </c>
      <c r="G166" s="12">
        <v>2378496</v>
      </c>
    </row>
    <row r="167" spans="1:7" s="1" customFormat="1" ht="15" x14ac:dyDescent="0.25">
      <c r="A167" s="5"/>
      <c r="B167" s="9" t="s">
        <v>57</v>
      </c>
      <c r="C167" s="10">
        <v>347765240</v>
      </c>
      <c r="D167" s="11">
        <v>0.46938000000000002</v>
      </c>
      <c r="E167" s="10">
        <v>163233</v>
      </c>
      <c r="F167" s="10">
        <v>97247</v>
      </c>
      <c r="G167" s="10">
        <v>260480</v>
      </c>
    </row>
    <row r="168" spans="1:7" s="1" customFormat="1" ht="15" x14ac:dyDescent="0.25">
      <c r="A168" s="5"/>
      <c r="B168" s="6" t="s">
        <v>64</v>
      </c>
      <c r="C168" s="12">
        <v>297289380</v>
      </c>
      <c r="D168" s="13">
        <v>0.26405000000000001</v>
      </c>
      <c r="E168" s="12">
        <v>78498</v>
      </c>
      <c r="F168" s="12">
        <v>80000</v>
      </c>
      <c r="G168" s="12">
        <v>158498</v>
      </c>
    </row>
    <row r="169" spans="1:7" s="1" customFormat="1" ht="15" x14ac:dyDescent="0.25">
      <c r="A169" s="5"/>
      <c r="B169" s="9" t="s">
        <v>327</v>
      </c>
      <c r="C169" s="10">
        <v>21960436</v>
      </c>
      <c r="D169" s="11">
        <v>0.43591000000000002</v>
      </c>
      <c r="E169" s="10">
        <v>9573</v>
      </c>
      <c r="F169" s="10">
        <v>0</v>
      </c>
      <c r="G169" s="10">
        <v>9573</v>
      </c>
    </row>
    <row r="170" spans="1:7" s="1" customFormat="1" ht="15" x14ac:dyDescent="0.25">
      <c r="A170" s="5"/>
      <c r="B170" s="6" t="s">
        <v>236</v>
      </c>
      <c r="C170" s="12">
        <v>179420478</v>
      </c>
      <c r="D170" s="13">
        <v>0.54808999999999997</v>
      </c>
      <c r="E170" s="12">
        <v>98338</v>
      </c>
      <c r="F170" s="12">
        <v>0</v>
      </c>
      <c r="G170" s="12">
        <v>98338</v>
      </c>
    </row>
    <row r="171" spans="1:7" s="1" customFormat="1" ht="15" x14ac:dyDescent="0.25">
      <c r="A171" s="5"/>
      <c r="B171" s="9" t="s">
        <v>238</v>
      </c>
      <c r="C171" s="10">
        <v>48240458</v>
      </c>
      <c r="D171" s="11">
        <v>0.94574999999999998</v>
      </c>
      <c r="E171" s="10">
        <v>45623</v>
      </c>
      <c r="F171" s="10">
        <v>0</v>
      </c>
      <c r="G171" s="10">
        <v>45623</v>
      </c>
    </row>
    <row r="172" spans="1:7" s="1" customFormat="1" ht="15" x14ac:dyDescent="0.25">
      <c r="A172" s="5"/>
      <c r="B172" s="6" t="s">
        <v>239</v>
      </c>
      <c r="C172" s="12">
        <v>1001918853</v>
      </c>
      <c r="D172" s="13">
        <v>0.67869999999999997</v>
      </c>
      <c r="E172" s="12">
        <v>680000</v>
      </c>
      <c r="F172" s="12">
        <v>0</v>
      </c>
      <c r="G172" s="12">
        <v>680000</v>
      </c>
    </row>
    <row r="173" spans="1:7" s="1" customFormat="1" ht="15" x14ac:dyDescent="0.25">
      <c r="A173" s="5"/>
      <c r="B173" s="9" t="s">
        <v>240</v>
      </c>
      <c r="C173" s="10">
        <v>167705985</v>
      </c>
      <c r="D173" s="11">
        <v>0.78091999999999995</v>
      </c>
      <c r="E173" s="10">
        <v>130965</v>
      </c>
      <c r="F173" s="10">
        <v>34058</v>
      </c>
      <c r="G173" s="10">
        <v>165023</v>
      </c>
    </row>
    <row r="174" spans="1:7" s="1" customFormat="1" ht="15" x14ac:dyDescent="0.25">
      <c r="A174" s="5"/>
      <c r="B174" s="6" t="s">
        <v>320</v>
      </c>
      <c r="C174" s="12">
        <v>43885747</v>
      </c>
      <c r="D174" s="13">
        <v>0.35571000000000003</v>
      </c>
      <c r="E174" s="12">
        <v>15611</v>
      </c>
      <c r="F174" s="12">
        <v>0</v>
      </c>
      <c r="G174" s="12">
        <v>15611</v>
      </c>
    </row>
    <row r="175" spans="1:7" s="1" customFormat="1" ht="15" x14ac:dyDescent="0.25">
      <c r="A175" s="5"/>
      <c r="B175" s="9" t="s">
        <v>328</v>
      </c>
      <c r="C175" s="10">
        <v>147525616</v>
      </c>
      <c r="D175" s="11">
        <v>0.51500000000000001</v>
      </c>
      <c r="E175" s="10">
        <v>75975</v>
      </c>
      <c r="F175" s="10">
        <v>19160</v>
      </c>
      <c r="G175" s="10">
        <v>95135</v>
      </c>
    </row>
    <row r="176" spans="1:7" s="1" customFormat="1" ht="15" x14ac:dyDescent="0.25">
      <c r="A176" s="5"/>
      <c r="B176" s="6" t="s">
        <v>54</v>
      </c>
      <c r="C176" s="12">
        <v>7124838731</v>
      </c>
      <c r="D176" s="13">
        <v>0.16538</v>
      </c>
      <c r="E176" s="12">
        <v>1178300</v>
      </c>
      <c r="F176" s="12">
        <v>319482</v>
      </c>
      <c r="G176" s="12">
        <v>1497782</v>
      </c>
    </row>
    <row r="177" spans="1:7" s="1" customFormat="1" ht="15" x14ac:dyDescent="0.25">
      <c r="A177" s="5"/>
      <c r="B177" s="9" t="s">
        <v>551</v>
      </c>
      <c r="C177" s="10">
        <v>9150816276</v>
      </c>
      <c r="D177" s="11">
        <v>0.15478</v>
      </c>
      <c r="E177" s="10">
        <v>1416394</v>
      </c>
      <c r="F177" s="10">
        <v>0</v>
      </c>
      <c r="G177" s="10">
        <v>1416394</v>
      </c>
    </row>
    <row r="178" spans="1:7" s="1" customFormat="1" ht="15" x14ac:dyDescent="0.25">
      <c r="A178" s="5"/>
      <c r="B178" s="6" t="s">
        <v>329</v>
      </c>
      <c r="C178" s="12">
        <v>147087016</v>
      </c>
      <c r="D178" s="13">
        <v>0.36763000000000001</v>
      </c>
      <c r="E178" s="12">
        <v>54073</v>
      </c>
      <c r="F178" s="12">
        <v>0</v>
      </c>
      <c r="G178" s="12">
        <v>54073</v>
      </c>
    </row>
    <row r="179" spans="1:7" s="1" customFormat="1" ht="15" x14ac:dyDescent="0.25">
      <c r="A179" s="5"/>
      <c r="B179" s="9" t="s">
        <v>28</v>
      </c>
      <c r="C179" s="10">
        <v>788657517</v>
      </c>
      <c r="D179" s="11">
        <v>2.138E-2</v>
      </c>
      <c r="E179" s="10">
        <v>16865</v>
      </c>
      <c r="F179" s="10">
        <v>0</v>
      </c>
      <c r="G179" s="10">
        <v>16865</v>
      </c>
    </row>
    <row r="180" spans="1:7" s="1" customFormat="1" ht="15" x14ac:dyDescent="0.25">
      <c r="A180" s="5"/>
      <c r="B180" s="6" t="s">
        <v>29</v>
      </c>
      <c r="C180" s="12">
        <v>234679330</v>
      </c>
      <c r="D180" s="13">
        <v>0.10421999999999999</v>
      </c>
      <c r="E180" s="12">
        <v>24459</v>
      </c>
      <c r="F180" s="12">
        <v>50000</v>
      </c>
      <c r="G180" s="12">
        <v>74459</v>
      </c>
    </row>
    <row r="181" spans="1:7" s="1" customFormat="1" ht="15" x14ac:dyDescent="0.25">
      <c r="A181" s="5"/>
      <c r="B181" s="9" t="s">
        <v>30</v>
      </c>
      <c r="C181" s="10">
        <v>52561698</v>
      </c>
      <c r="D181" s="11">
        <v>5.67E-2</v>
      </c>
      <c r="E181" s="10">
        <v>2980</v>
      </c>
      <c r="F181" s="10">
        <v>0</v>
      </c>
      <c r="G181" s="10">
        <v>2980</v>
      </c>
    </row>
    <row r="182" spans="1:7" s="1" customFormat="1" ht="15" x14ac:dyDescent="0.25">
      <c r="A182" s="5"/>
      <c r="B182" s="6" t="s">
        <v>541</v>
      </c>
      <c r="C182" s="12">
        <v>7285308924</v>
      </c>
      <c r="D182" s="13">
        <v>1.4318500000000001</v>
      </c>
      <c r="E182" s="12">
        <v>10431494</v>
      </c>
      <c r="F182" s="12">
        <v>0</v>
      </c>
      <c r="G182" s="12">
        <v>10431494</v>
      </c>
    </row>
    <row r="183" spans="1:7" s="1" customFormat="1" ht="15" x14ac:dyDescent="0.25">
      <c r="A183" s="5"/>
      <c r="B183" s="2" t="s">
        <v>538</v>
      </c>
      <c r="C183" s="14"/>
      <c r="D183" s="15"/>
      <c r="E183" s="14"/>
      <c r="F183" s="14"/>
      <c r="G183" s="16">
        <f>SUM(G166:G182)</f>
        <v>17400824</v>
      </c>
    </row>
    <row r="184" spans="1:7" s="1" customFormat="1" ht="9.75" customHeight="1" x14ac:dyDescent="0.25">
      <c r="A184" s="5"/>
      <c r="B184" s="5"/>
      <c r="C184" s="17"/>
      <c r="D184" s="18"/>
      <c r="E184" s="17"/>
      <c r="F184" s="17"/>
      <c r="G184" s="19"/>
    </row>
    <row r="185" spans="1:7" s="1" customFormat="1" ht="15" x14ac:dyDescent="0.25">
      <c r="A185" s="2" t="s">
        <v>55</v>
      </c>
      <c r="B185" s="3"/>
      <c r="C185" s="3"/>
      <c r="D185" s="3"/>
      <c r="E185" s="3"/>
      <c r="F185" s="3"/>
      <c r="G185" s="4"/>
    </row>
    <row r="186" spans="1:7" s="1" customFormat="1" ht="15" x14ac:dyDescent="0.25">
      <c r="A186" s="5"/>
      <c r="B186" s="6" t="s">
        <v>318</v>
      </c>
      <c r="C186" s="12">
        <v>920754740</v>
      </c>
      <c r="D186" s="13">
        <v>0.26461000000000001</v>
      </c>
      <c r="E186" s="12">
        <v>243644</v>
      </c>
      <c r="F186" s="12">
        <v>0</v>
      </c>
      <c r="G186" s="12">
        <v>243644</v>
      </c>
    </row>
    <row r="187" spans="1:7" s="1" customFormat="1" ht="15" x14ac:dyDescent="0.25">
      <c r="A187" s="5"/>
      <c r="B187" s="9" t="s">
        <v>57</v>
      </c>
      <c r="C187" s="10">
        <v>615730144</v>
      </c>
      <c r="D187" s="11">
        <v>0.60736999999999997</v>
      </c>
      <c r="E187" s="10">
        <v>373976</v>
      </c>
      <c r="F187" s="10">
        <v>0</v>
      </c>
      <c r="G187" s="10">
        <v>373976</v>
      </c>
    </row>
    <row r="188" spans="1:7" s="1" customFormat="1" ht="15" x14ac:dyDescent="0.25">
      <c r="A188" s="5"/>
      <c r="B188" s="6" t="s">
        <v>325</v>
      </c>
      <c r="C188" s="12">
        <v>362174412</v>
      </c>
      <c r="D188" s="13">
        <v>0.59453999999999996</v>
      </c>
      <c r="E188" s="12">
        <v>215326</v>
      </c>
      <c r="F188" s="12">
        <v>0</v>
      </c>
      <c r="G188" s="12">
        <v>215326</v>
      </c>
    </row>
    <row r="189" spans="1:7" s="1" customFormat="1" ht="15" x14ac:dyDescent="0.25">
      <c r="A189" s="5"/>
      <c r="B189" s="9" t="s">
        <v>330</v>
      </c>
      <c r="C189" s="10">
        <v>165248654</v>
      </c>
      <c r="D189" s="11">
        <v>0.71135000000000004</v>
      </c>
      <c r="E189" s="10">
        <v>117550</v>
      </c>
      <c r="F189" s="10">
        <v>0</v>
      </c>
      <c r="G189" s="10">
        <v>117550</v>
      </c>
    </row>
    <row r="190" spans="1:7" s="1" customFormat="1" ht="15" x14ac:dyDescent="0.25">
      <c r="A190" s="5"/>
      <c r="B190" s="6" t="s">
        <v>238</v>
      </c>
      <c r="C190" s="12">
        <v>209599313</v>
      </c>
      <c r="D190" s="13">
        <v>0.67978000000000005</v>
      </c>
      <c r="E190" s="12">
        <v>142482</v>
      </c>
      <c r="F190" s="12">
        <v>0</v>
      </c>
      <c r="G190" s="12">
        <v>142482</v>
      </c>
    </row>
    <row r="191" spans="1:7" s="1" customFormat="1" ht="15" x14ac:dyDescent="0.25">
      <c r="A191" s="5"/>
      <c r="B191" s="9" t="s">
        <v>445</v>
      </c>
      <c r="C191" s="10">
        <v>65000241</v>
      </c>
      <c r="D191" s="11">
        <v>0.42407</v>
      </c>
      <c r="E191" s="10">
        <v>27565</v>
      </c>
      <c r="F191" s="10">
        <v>0</v>
      </c>
      <c r="G191" s="10">
        <v>27565</v>
      </c>
    </row>
    <row r="192" spans="1:7" s="1" customFormat="1" ht="15" x14ac:dyDescent="0.25">
      <c r="A192" s="5"/>
      <c r="B192" s="6" t="s">
        <v>463</v>
      </c>
      <c r="C192" s="12">
        <v>362674110</v>
      </c>
      <c r="D192" s="13">
        <v>0.39621000000000001</v>
      </c>
      <c r="E192" s="12">
        <v>143695</v>
      </c>
      <c r="F192" s="12">
        <v>0</v>
      </c>
      <c r="G192" s="12">
        <v>143695</v>
      </c>
    </row>
    <row r="193" spans="1:7" s="1" customFormat="1" ht="15" x14ac:dyDescent="0.25">
      <c r="A193" s="5"/>
      <c r="B193" s="9" t="s">
        <v>155</v>
      </c>
      <c r="C193" s="10">
        <v>165248654</v>
      </c>
      <c r="D193" s="11">
        <v>0.5</v>
      </c>
      <c r="E193" s="10">
        <v>82624</v>
      </c>
      <c r="F193" s="10">
        <v>0</v>
      </c>
      <c r="G193" s="10">
        <v>82624</v>
      </c>
    </row>
    <row r="194" spans="1:7" s="1" customFormat="1" ht="15" x14ac:dyDescent="0.25">
      <c r="A194" s="5"/>
      <c r="B194" s="6" t="s">
        <v>91</v>
      </c>
      <c r="C194" s="12">
        <v>209599313</v>
      </c>
      <c r="D194" s="13">
        <v>0.23315</v>
      </c>
      <c r="E194" s="12">
        <v>48868</v>
      </c>
      <c r="F194" s="12">
        <v>0</v>
      </c>
      <c r="G194" s="12">
        <v>48868</v>
      </c>
    </row>
    <row r="195" spans="1:7" s="1" customFormat="1" ht="15" x14ac:dyDescent="0.25">
      <c r="A195" s="5"/>
      <c r="B195" s="2" t="s">
        <v>538</v>
      </c>
      <c r="C195" s="14"/>
      <c r="D195" s="15"/>
      <c r="E195" s="14"/>
      <c r="F195" s="14"/>
      <c r="G195" s="16">
        <f>SUM(G186:G194)</f>
        <v>1395730</v>
      </c>
    </row>
    <row r="196" spans="1:7" s="1" customFormat="1" ht="13.5" x14ac:dyDescent="0.25">
      <c r="A196" s="5"/>
      <c r="B196" s="5"/>
      <c r="C196" s="17"/>
      <c r="D196" s="18"/>
      <c r="E196" s="17"/>
      <c r="F196" s="17"/>
      <c r="G196" s="19"/>
    </row>
    <row r="197" spans="1:7" s="1" customFormat="1" ht="15" x14ac:dyDescent="0.25">
      <c r="A197" s="2" t="s">
        <v>56</v>
      </c>
      <c r="B197" s="3"/>
      <c r="C197" s="3"/>
      <c r="D197" s="3"/>
      <c r="E197" s="3"/>
      <c r="F197" s="3"/>
      <c r="G197" s="4"/>
    </row>
    <row r="198" spans="1:7" s="1" customFormat="1" ht="15" x14ac:dyDescent="0.25">
      <c r="A198" s="5"/>
      <c r="B198" s="6" t="s">
        <v>464</v>
      </c>
      <c r="C198" s="12">
        <v>4842997232</v>
      </c>
      <c r="D198" s="13">
        <v>0.22556000000000001</v>
      </c>
      <c r="E198" s="12">
        <v>1092409</v>
      </c>
      <c r="F198" s="12">
        <v>0</v>
      </c>
      <c r="G198" s="12">
        <v>1092409</v>
      </c>
    </row>
    <row r="199" spans="1:7" s="1" customFormat="1" ht="15" x14ac:dyDescent="0.25">
      <c r="A199" s="5"/>
      <c r="B199" s="9" t="s">
        <v>57</v>
      </c>
      <c r="C199" s="10">
        <v>2288180077</v>
      </c>
      <c r="D199" s="11">
        <v>0.4</v>
      </c>
      <c r="E199" s="10">
        <v>915272</v>
      </c>
      <c r="F199" s="10">
        <v>0</v>
      </c>
      <c r="G199" s="10">
        <v>915272</v>
      </c>
    </row>
    <row r="200" spans="1:7" s="1" customFormat="1" ht="15" x14ac:dyDescent="0.25">
      <c r="A200" s="5"/>
      <c r="B200" s="6" t="s">
        <v>236</v>
      </c>
      <c r="C200" s="12">
        <v>600549063</v>
      </c>
      <c r="D200" s="13">
        <v>0.39845999999999998</v>
      </c>
      <c r="E200" s="12">
        <v>239295</v>
      </c>
      <c r="F200" s="12">
        <v>0</v>
      </c>
      <c r="G200" s="12">
        <v>239295</v>
      </c>
    </row>
    <row r="201" spans="1:7" s="1" customFormat="1" ht="15" x14ac:dyDescent="0.25">
      <c r="A201" s="5"/>
      <c r="B201" s="9" t="s">
        <v>237</v>
      </c>
      <c r="C201" s="10">
        <v>92174179</v>
      </c>
      <c r="D201" s="11">
        <v>0.84058999999999995</v>
      </c>
      <c r="E201" s="10">
        <v>77481</v>
      </c>
      <c r="F201" s="10">
        <v>0</v>
      </c>
      <c r="G201" s="10">
        <v>77481</v>
      </c>
    </row>
    <row r="202" spans="1:7" s="1" customFormat="1" ht="15" x14ac:dyDescent="0.25">
      <c r="A202" s="5"/>
      <c r="B202" s="6" t="s">
        <v>238</v>
      </c>
      <c r="C202" s="12">
        <v>3698861605</v>
      </c>
      <c r="D202" s="13">
        <v>0.82865</v>
      </c>
      <c r="E202" s="12">
        <v>2029165</v>
      </c>
      <c r="F202" s="12">
        <v>84150</v>
      </c>
      <c r="G202" s="12">
        <v>2113315</v>
      </c>
    </row>
    <row r="203" spans="1:7" s="1" customFormat="1" ht="15" x14ac:dyDescent="0.25">
      <c r="A203" s="5"/>
      <c r="B203" s="9" t="s">
        <v>239</v>
      </c>
      <c r="C203" s="10">
        <v>694652160</v>
      </c>
      <c r="D203" s="11">
        <v>0.34067999999999998</v>
      </c>
      <c r="E203" s="10">
        <v>236653</v>
      </c>
      <c r="F203" s="10">
        <v>0</v>
      </c>
      <c r="G203" s="10">
        <v>236653</v>
      </c>
    </row>
    <row r="204" spans="1:7" s="1" customFormat="1" ht="15" x14ac:dyDescent="0.25">
      <c r="A204" s="5"/>
      <c r="B204" s="6" t="s">
        <v>240</v>
      </c>
      <c r="C204" s="12">
        <v>628624800</v>
      </c>
      <c r="D204" s="13">
        <v>0.21271999999999999</v>
      </c>
      <c r="E204" s="12">
        <v>133722</v>
      </c>
      <c r="F204" s="12">
        <v>0</v>
      </c>
      <c r="G204" s="12">
        <v>133722</v>
      </c>
    </row>
    <row r="205" spans="1:7" s="1" customFormat="1" ht="15" x14ac:dyDescent="0.25">
      <c r="A205" s="5"/>
      <c r="B205" s="9" t="s">
        <v>58</v>
      </c>
      <c r="C205" s="10">
        <v>17058508016</v>
      </c>
      <c r="D205" s="11">
        <v>0.16481000000000001</v>
      </c>
      <c r="E205" s="10">
        <v>2811420</v>
      </c>
      <c r="F205" s="10">
        <v>0</v>
      </c>
      <c r="G205" s="10">
        <v>2811420</v>
      </c>
    </row>
    <row r="206" spans="1:7" s="1" customFormat="1" ht="15" x14ac:dyDescent="0.25">
      <c r="A206" s="5"/>
      <c r="B206" s="6" t="s">
        <v>59</v>
      </c>
      <c r="C206" s="12">
        <v>90906882</v>
      </c>
      <c r="D206" s="13">
        <v>4.897E-2</v>
      </c>
      <c r="E206" s="12">
        <v>4452</v>
      </c>
      <c r="F206" s="12">
        <v>0</v>
      </c>
      <c r="G206" s="12">
        <v>4452</v>
      </c>
    </row>
    <row r="207" spans="1:7" s="1" customFormat="1" ht="15" x14ac:dyDescent="0.25">
      <c r="A207" s="5"/>
      <c r="B207" s="9" t="s">
        <v>60</v>
      </c>
      <c r="C207" s="10">
        <v>714744736</v>
      </c>
      <c r="D207" s="11">
        <v>3.5299999999999998E-2</v>
      </c>
      <c r="E207" s="10">
        <v>25229</v>
      </c>
      <c r="F207" s="10">
        <v>0</v>
      </c>
      <c r="G207" s="10">
        <v>25229</v>
      </c>
    </row>
    <row r="208" spans="1:7" s="1" customFormat="1" ht="15" x14ac:dyDescent="0.25">
      <c r="A208" s="5"/>
      <c r="B208" s="20" t="s">
        <v>538</v>
      </c>
      <c r="C208" s="21"/>
      <c r="D208" s="22"/>
      <c r="E208" s="21"/>
      <c r="F208" s="21"/>
      <c r="G208" s="23">
        <f>SUM(G198:G207)</f>
        <v>7649248</v>
      </c>
    </row>
    <row r="209" spans="1:7" s="1" customFormat="1" ht="13.5" x14ac:dyDescent="0.25">
      <c r="A209" s="5"/>
      <c r="B209" s="5"/>
      <c r="C209" s="17"/>
      <c r="D209" s="18"/>
      <c r="E209" s="17"/>
      <c r="F209" s="17"/>
      <c r="G209" s="19"/>
    </row>
    <row r="210" spans="1:7" s="1" customFormat="1" ht="15" x14ac:dyDescent="0.25">
      <c r="A210" s="2" t="s">
        <v>61</v>
      </c>
      <c r="B210" s="3"/>
      <c r="C210" s="3"/>
      <c r="D210" s="3"/>
      <c r="E210" s="3"/>
      <c r="F210" s="3"/>
      <c r="G210" s="4"/>
    </row>
    <row r="211" spans="1:7" s="1" customFormat="1" ht="15" x14ac:dyDescent="0.25">
      <c r="A211" s="5"/>
      <c r="B211" s="6" t="s">
        <v>515</v>
      </c>
      <c r="C211" s="12">
        <v>531731475</v>
      </c>
      <c r="D211" s="13">
        <v>0.41245999999999999</v>
      </c>
      <c r="E211" s="12">
        <v>219320</v>
      </c>
      <c r="F211" s="12">
        <v>0</v>
      </c>
      <c r="G211" s="12">
        <v>219320</v>
      </c>
    </row>
    <row r="212" spans="1:7" s="1" customFormat="1" ht="15" x14ac:dyDescent="0.25">
      <c r="A212" s="5"/>
      <c r="B212" s="9" t="s">
        <v>236</v>
      </c>
      <c r="C212" s="10">
        <v>526718434</v>
      </c>
      <c r="D212" s="11">
        <v>0.89781999999999995</v>
      </c>
      <c r="E212" s="10">
        <v>472900</v>
      </c>
      <c r="F212" s="10">
        <v>0</v>
      </c>
      <c r="G212" s="10">
        <v>472900</v>
      </c>
    </row>
    <row r="213" spans="1:7" s="1" customFormat="1" ht="15" x14ac:dyDescent="0.25">
      <c r="A213" s="5"/>
      <c r="B213" s="6" t="s">
        <v>62</v>
      </c>
      <c r="C213" s="12">
        <v>533626071</v>
      </c>
      <c r="D213" s="13">
        <v>0.39433000000000001</v>
      </c>
      <c r="E213" s="12">
        <v>210427</v>
      </c>
      <c r="F213" s="12">
        <v>0</v>
      </c>
      <c r="G213" s="12">
        <v>210427</v>
      </c>
    </row>
    <row r="214" spans="1:7" s="1" customFormat="1" ht="15" x14ac:dyDescent="0.25">
      <c r="A214" s="5"/>
      <c r="B214" s="2" t="s">
        <v>538</v>
      </c>
      <c r="C214" s="14"/>
      <c r="D214" s="15"/>
      <c r="E214" s="14"/>
      <c r="F214" s="14"/>
      <c r="G214" s="16">
        <f>SUM(G211:G213)</f>
        <v>902647</v>
      </c>
    </row>
    <row r="215" spans="1:7" s="1" customFormat="1" ht="13.5" x14ac:dyDescent="0.25">
      <c r="A215" s="5"/>
      <c r="B215" s="5"/>
      <c r="C215" s="17"/>
      <c r="D215" s="18"/>
      <c r="E215" s="17"/>
      <c r="F215" s="17"/>
      <c r="G215" s="19"/>
    </row>
    <row r="216" spans="1:7" s="1" customFormat="1" ht="15" x14ac:dyDescent="0.25">
      <c r="A216" s="2" t="s">
        <v>63</v>
      </c>
      <c r="B216" s="3"/>
      <c r="C216" s="3"/>
      <c r="D216" s="3"/>
      <c r="E216" s="3"/>
      <c r="F216" s="3"/>
      <c r="G216" s="4"/>
    </row>
    <row r="217" spans="1:7" s="1" customFormat="1" ht="15" x14ac:dyDescent="0.25">
      <c r="A217" s="5"/>
      <c r="B217" s="6" t="s">
        <v>318</v>
      </c>
      <c r="C217" s="12">
        <v>18443064708</v>
      </c>
      <c r="D217" s="13">
        <v>0.26461000000000001</v>
      </c>
      <c r="E217" s="12">
        <v>4880279</v>
      </c>
      <c r="F217" s="12">
        <v>0</v>
      </c>
      <c r="G217" s="12">
        <v>4880279</v>
      </c>
    </row>
    <row r="218" spans="1:7" s="1" customFormat="1" ht="15" x14ac:dyDescent="0.25">
      <c r="A218" s="5"/>
      <c r="B218" s="9" t="s">
        <v>57</v>
      </c>
      <c r="C218" s="10">
        <v>7218136163</v>
      </c>
      <c r="D218" s="11">
        <v>0.46260000000000001</v>
      </c>
      <c r="E218" s="10">
        <v>3339078</v>
      </c>
      <c r="F218" s="10">
        <v>8284000</v>
      </c>
      <c r="G218" s="10">
        <v>11623078</v>
      </c>
    </row>
    <row r="219" spans="1:7" s="1" customFormat="1" ht="15" x14ac:dyDescent="0.25">
      <c r="A219" s="5"/>
      <c r="B219" s="6" t="s">
        <v>64</v>
      </c>
      <c r="C219" s="12">
        <v>8103418935</v>
      </c>
      <c r="D219" s="13">
        <v>0.21942999999999999</v>
      </c>
      <c r="E219" s="12">
        <v>1778107</v>
      </c>
      <c r="F219" s="12">
        <v>3060000</v>
      </c>
      <c r="G219" s="12">
        <v>4838107</v>
      </c>
    </row>
    <row r="220" spans="1:7" s="1" customFormat="1" ht="15" x14ac:dyDescent="0.25">
      <c r="A220" s="5"/>
      <c r="B220" s="9" t="s">
        <v>65</v>
      </c>
      <c r="C220" s="10">
        <v>1582274347</v>
      </c>
      <c r="D220" s="11">
        <v>0.35905999999999999</v>
      </c>
      <c r="E220" s="10">
        <v>568126</v>
      </c>
      <c r="F220" s="10">
        <v>1140975</v>
      </c>
      <c r="G220" s="10">
        <v>1709101</v>
      </c>
    </row>
    <row r="221" spans="1:7" s="1" customFormat="1" ht="15" x14ac:dyDescent="0.25">
      <c r="A221" s="5"/>
      <c r="B221" s="6" t="s">
        <v>66</v>
      </c>
      <c r="C221" s="12">
        <v>781058354</v>
      </c>
      <c r="D221" s="13">
        <v>0.42637999999999998</v>
      </c>
      <c r="E221" s="12">
        <v>333030</v>
      </c>
      <c r="F221" s="12">
        <v>0</v>
      </c>
      <c r="G221" s="12">
        <v>333030</v>
      </c>
    </row>
    <row r="222" spans="1:7" s="1" customFormat="1" ht="15" x14ac:dyDescent="0.25">
      <c r="A222" s="5"/>
      <c r="B222" s="9" t="s">
        <v>67</v>
      </c>
      <c r="C222" s="10">
        <v>1072952784</v>
      </c>
      <c r="D222" s="11">
        <v>0.33633000000000002</v>
      </c>
      <c r="E222" s="10">
        <v>360869</v>
      </c>
      <c r="F222" s="10">
        <v>0</v>
      </c>
      <c r="G222" s="10">
        <v>360869</v>
      </c>
    </row>
    <row r="223" spans="1:7" s="1" customFormat="1" ht="15" x14ac:dyDescent="0.25">
      <c r="A223" s="5"/>
      <c r="B223" s="6" t="s">
        <v>327</v>
      </c>
      <c r="C223" s="12">
        <v>276849316</v>
      </c>
      <c r="D223" s="13">
        <v>0.43591000000000002</v>
      </c>
      <c r="E223" s="12">
        <v>120680</v>
      </c>
      <c r="F223" s="12">
        <v>0</v>
      </c>
      <c r="G223" s="12">
        <v>120680</v>
      </c>
    </row>
    <row r="224" spans="1:7" s="1" customFormat="1" ht="15" x14ac:dyDescent="0.25">
      <c r="A224" s="5"/>
      <c r="B224" s="9" t="s">
        <v>68</v>
      </c>
      <c r="C224" s="10">
        <v>672505969</v>
      </c>
      <c r="D224" s="11">
        <v>0.35172999999999999</v>
      </c>
      <c r="E224" s="10">
        <v>236542</v>
      </c>
      <c r="F224" s="10">
        <v>0</v>
      </c>
      <c r="G224" s="10">
        <v>236542</v>
      </c>
    </row>
    <row r="225" spans="1:7" s="1" customFormat="1" ht="15" x14ac:dyDescent="0.25">
      <c r="A225" s="5"/>
      <c r="B225" s="6" t="s">
        <v>238</v>
      </c>
      <c r="C225" s="12">
        <v>7297902251</v>
      </c>
      <c r="D225" s="13">
        <v>1.3</v>
      </c>
      <c r="E225" s="12">
        <v>2520104</v>
      </c>
      <c r="F225" s="12">
        <v>240000</v>
      </c>
      <c r="G225" s="12">
        <v>2760104</v>
      </c>
    </row>
    <row r="226" spans="1:7" s="1" customFormat="1" ht="15" x14ac:dyDescent="0.25">
      <c r="A226" s="5"/>
      <c r="B226" s="9" t="s">
        <v>239</v>
      </c>
      <c r="C226" s="10">
        <v>749138051</v>
      </c>
      <c r="D226" s="11">
        <v>0.60680000000000001</v>
      </c>
      <c r="E226" s="10">
        <v>454579</v>
      </c>
      <c r="F226" s="10">
        <v>0</v>
      </c>
      <c r="G226" s="10">
        <v>454579</v>
      </c>
    </row>
    <row r="227" spans="1:7" s="1" customFormat="1" ht="15" x14ac:dyDescent="0.25">
      <c r="A227" s="5"/>
      <c r="B227" s="6" t="s">
        <v>240</v>
      </c>
      <c r="C227" s="12">
        <v>2664572676</v>
      </c>
      <c r="D227" s="13">
        <v>1.04281</v>
      </c>
      <c r="E227" s="12">
        <v>2778647</v>
      </c>
      <c r="F227" s="12">
        <v>0</v>
      </c>
      <c r="G227" s="12">
        <v>2778647</v>
      </c>
    </row>
    <row r="228" spans="1:7" s="1" customFormat="1" ht="15" x14ac:dyDescent="0.25">
      <c r="A228" s="5"/>
      <c r="B228" s="9" t="s">
        <v>241</v>
      </c>
      <c r="C228" s="10">
        <v>86643082</v>
      </c>
      <c r="D228" s="11">
        <v>0.93779999999999997</v>
      </c>
      <c r="E228" s="10">
        <v>81253</v>
      </c>
      <c r="F228" s="10">
        <v>0</v>
      </c>
      <c r="G228" s="10">
        <v>81253</v>
      </c>
    </row>
    <row r="229" spans="1:7" s="1" customFormat="1" ht="15" x14ac:dyDescent="0.25">
      <c r="A229" s="5"/>
      <c r="B229" s="6" t="s">
        <v>319</v>
      </c>
      <c r="C229" s="12">
        <v>475659474</v>
      </c>
      <c r="D229" s="13">
        <v>1.3</v>
      </c>
      <c r="E229" s="12">
        <v>618357</v>
      </c>
      <c r="F229" s="12">
        <v>0</v>
      </c>
      <c r="G229" s="12">
        <v>618357</v>
      </c>
    </row>
    <row r="230" spans="1:7" s="1" customFormat="1" ht="15" x14ac:dyDescent="0.25">
      <c r="A230" s="5"/>
      <c r="B230" s="9" t="s">
        <v>320</v>
      </c>
      <c r="C230" s="10">
        <v>928697844</v>
      </c>
      <c r="D230" s="11">
        <v>0.96750999999999998</v>
      </c>
      <c r="E230" s="10">
        <v>898524</v>
      </c>
      <c r="F230" s="10">
        <v>0</v>
      </c>
      <c r="G230" s="10">
        <v>898524</v>
      </c>
    </row>
    <row r="231" spans="1:7" s="1" customFormat="1" ht="15" x14ac:dyDescent="0.25">
      <c r="A231" s="5"/>
      <c r="B231" s="6" t="s">
        <v>324</v>
      </c>
      <c r="C231" s="12">
        <v>1028991018</v>
      </c>
      <c r="D231" s="13">
        <v>1.0841700000000001</v>
      </c>
      <c r="E231" s="12">
        <v>1115603</v>
      </c>
      <c r="F231" s="12">
        <v>0</v>
      </c>
      <c r="G231" s="12">
        <v>1115603</v>
      </c>
    </row>
    <row r="232" spans="1:7" s="1" customFormat="1" ht="15" x14ac:dyDescent="0.25">
      <c r="A232" s="5"/>
      <c r="B232" s="9" t="s">
        <v>332</v>
      </c>
      <c r="C232" s="10">
        <v>196620120</v>
      </c>
      <c r="D232" s="11">
        <v>0.63436000000000003</v>
      </c>
      <c r="E232" s="10">
        <v>124727</v>
      </c>
      <c r="F232" s="10">
        <v>0</v>
      </c>
      <c r="G232" s="10">
        <v>124727</v>
      </c>
    </row>
    <row r="233" spans="1:7" s="1" customFormat="1" ht="15" x14ac:dyDescent="0.25">
      <c r="A233" s="5"/>
      <c r="B233" s="6" t="s">
        <v>325</v>
      </c>
      <c r="C233" s="12">
        <v>276720481</v>
      </c>
      <c r="D233" s="13">
        <v>0.73085</v>
      </c>
      <c r="E233" s="12">
        <v>202242</v>
      </c>
      <c r="F233" s="12">
        <v>0</v>
      </c>
      <c r="G233" s="12">
        <v>202242</v>
      </c>
    </row>
    <row r="234" spans="1:7" s="1" customFormat="1" ht="15" x14ac:dyDescent="0.25">
      <c r="A234" s="5"/>
      <c r="B234" s="9" t="s">
        <v>330</v>
      </c>
      <c r="C234" s="10">
        <v>40671484</v>
      </c>
      <c r="D234" s="11">
        <v>0.83104999999999996</v>
      </c>
      <c r="E234" s="10">
        <v>33800</v>
      </c>
      <c r="F234" s="10">
        <v>0</v>
      </c>
      <c r="G234" s="10">
        <v>33800</v>
      </c>
    </row>
    <row r="235" spans="1:7" s="1" customFormat="1" ht="15" x14ac:dyDescent="0.25">
      <c r="A235" s="5"/>
      <c r="B235" s="6" t="s">
        <v>333</v>
      </c>
      <c r="C235" s="12">
        <v>408124434</v>
      </c>
      <c r="D235" s="13">
        <v>0.46899999999999997</v>
      </c>
      <c r="E235" s="12">
        <v>191410</v>
      </c>
      <c r="F235" s="12">
        <v>0</v>
      </c>
      <c r="G235" s="12">
        <v>191410</v>
      </c>
    </row>
    <row r="236" spans="1:7" s="1" customFormat="1" ht="15" x14ac:dyDescent="0.25">
      <c r="A236" s="5"/>
      <c r="B236" s="9" t="s">
        <v>334</v>
      </c>
      <c r="C236" s="10">
        <v>8284642140</v>
      </c>
      <c r="D236" s="11">
        <v>0.51681999999999995</v>
      </c>
      <c r="E236" s="10">
        <v>4281670</v>
      </c>
      <c r="F236" s="10">
        <v>0</v>
      </c>
      <c r="G236" s="10">
        <v>4281670</v>
      </c>
    </row>
    <row r="237" spans="1:7" s="1" customFormat="1" ht="15" x14ac:dyDescent="0.25">
      <c r="A237" s="5"/>
      <c r="B237" s="6" t="s">
        <v>335</v>
      </c>
      <c r="C237" s="12">
        <v>1013224791</v>
      </c>
      <c r="D237" s="13">
        <v>0.20848</v>
      </c>
      <c r="E237" s="12">
        <v>211233</v>
      </c>
      <c r="F237" s="12">
        <v>0</v>
      </c>
      <c r="G237" s="12">
        <v>211233</v>
      </c>
    </row>
    <row r="238" spans="1:7" s="1" customFormat="1" ht="15" x14ac:dyDescent="0.25">
      <c r="A238" s="5"/>
      <c r="B238" s="9" t="s">
        <v>336</v>
      </c>
      <c r="C238" s="10">
        <v>1031326865</v>
      </c>
      <c r="D238" s="11">
        <v>0.20851</v>
      </c>
      <c r="E238" s="10">
        <v>215038</v>
      </c>
      <c r="F238" s="10">
        <v>0</v>
      </c>
      <c r="G238" s="10">
        <v>215038</v>
      </c>
    </row>
    <row r="239" spans="1:7" s="1" customFormat="1" ht="15" x14ac:dyDescent="0.25">
      <c r="A239" s="5"/>
      <c r="B239" s="6" t="s">
        <v>337</v>
      </c>
      <c r="C239" s="12">
        <v>198387759</v>
      </c>
      <c r="D239" s="13">
        <v>0.22813</v>
      </c>
      <c r="E239" s="12">
        <v>45257</v>
      </c>
      <c r="F239" s="12">
        <v>0</v>
      </c>
      <c r="G239" s="12">
        <v>45257</v>
      </c>
    </row>
    <row r="240" spans="1:7" s="1" customFormat="1" ht="15" x14ac:dyDescent="0.25">
      <c r="A240" s="5"/>
      <c r="B240" s="9" t="s">
        <v>338</v>
      </c>
      <c r="C240" s="10">
        <v>70743868</v>
      </c>
      <c r="D240" s="11">
        <v>0.36341000000000001</v>
      </c>
      <c r="E240" s="10">
        <v>25709</v>
      </c>
      <c r="F240" s="10">
        <v>0</v>
      </c>
      <c r="G240" s="10">
        <v>25709</v>
      </c>
    </row>
    <row r="241" spans="1:7" s="1" customFormat="1" ht="15" x14ac:dyDescent="0.25">
      <c r="A241" s="5"/>
      <c r="B241" s="6" t="s">
        <v>339</v>
      </c>
      <c r="C241" s="12">
        <v>210760954</v>
      </c>
      <c r="D241" s="13">
        <v>0.29604000000000003</v>
      </c>
      <c r="E241" s="12">
        <v>62393</v>
      </c>
      <c r="F241" s="12">
        <v>0</v>
      </c>
      <c r="G241" s="12">
        <v>62393</v>
      </c>
    </row>
    <row r="242" spans="1:7" s="1" customFormat="1" ht="15" x14ac:dyDescent="0.25">
      <c r="A242" s="5"/>
      <c r="B242" s="9" t="s">
        <v>340</v>
      </c>
      <c r="C242" s="10">
        <v>718524347</v>
      </c>
      <c r="D242" s="11">
        <v>0.49497000000000002</v>
      </c>
      <c r="E242" s="10">
        <v>355653</v>
      </c>
      <c r="F242" s="10">
        <v>0</v>
      </c>
      <c r="G242" s="10">
        <v>355653</v>
      </c>
    </row>
    <row r="243" spans="1:7" s="1" customFormat="1" ht="15" x14ac:dyDescent="0.25">
      <c r="A243" s="5"/>
      <c r="B243" s="6" t="s">
        <v>341</v>
      </c>
      <c r="C243" s="12">
        <v>1003408339</v>
      </c>
      <c r="D243" s="13">
        <v>0.27759</v>
      </c>
      <c r="E243" s="12">
        <v>278533</v>
      </c>
      <c r="F243" s="12">
        <v>0</v>
      </c>
      <c r="G243" s="12">
        <v>278533</v>
      </c>
    </row>
    <row r="244" spans="1:7" s="1" customFormat="1" ht="15" x14ac:dyDescent="0.25">
      <c r="A244" s="5"/>
      <c r="B244" s="9" t="s">
        <v>342</v>
      </c>
      <c r="C244" s="10">
        <v>6385680060</v>
      </c>
      <c r="D244" s="11">
        <v>0.35750999999999999</v>
      </c>
      <c r="E244" s="10">
        <v>2282926</v>
      </c>
      <c r="F244" s="10">
        <v>0</v>
      </c>
      <c r="G244" s="10">
        <v>2282926</v>
      </c>
    </row>
    <row r="245" spans="1:7" s="1" customFormat="1" ht="15" x14ac:dyDescent="0.25">
      <c r="A245" s="5"/>
      <c r="B245" s="6" t="s">
        <v>51</v>
      </c>
      <c r="C245" s="12">
        <v>1938541842</v>
      </c>
      <c r="D245" s="13">
        <v>0.2944</v>
      </c>
      <c r="E245" s="12">
        <v>570699</v>
      </c>
      <c r="F245" s="12">
        <v>0</v>
      </c>
      <c r="G245" s="12">
        <v>570699</v>
      </c>
    </row>
    <row r="246" spans="1:7" s="1" customFormat="1" ht="15" x14ac:dyDescent="0.25">
      <c r="A246" s="5"/>
      <c r="B246" s="9" t="s">
        <v>343</v>
      </c>
      <c r="C246" s="10">
        <v>928697844</v>
      </c>
      <c r="D246" s="11">
        <v>0.37163000000000002</v>
      </c>
      <c r="E246" s="10">
        <v>345136</v>
      </c>
      <c r="F246" s="10">
        <v>0</v>
      </c>
      <c r="G246" s="10">
        <v>345136</v>
      </c>
    </row>
    <row r="247" spans="1:7" s="1" customFormat="1" ht="15" x14ac:dyDescent="0.25">
      <c r="A247" s="5"/>
      <c r="B247" s="6" t="s">
        <v>69</v>
      </c>
      <c r="C247" s="12">
        <v>1028991018</v>
      </c>
      <c r="D247" s="13">
        <v>0.5</v>
      </c>
      <c r="E247" s="12">
        <v>514496</v>
      </c>
      <c r="F247" s="12">
        <v>0</v>
      </c>
      <c r="G247" s="12">
        <v>514496</v>
      </c>
    </row>
    <row r="248" spans="1:7" s="1" customFormat="1" ht="15" x14ac:dyDescent="0.25">
      <c r="A248" s="5"/>
      <c r="B248" s="9" t="s">
        <v>59</v>
      </c>
      <c r="C248" s="10">
        <v>7939631719</v>
      </c>
      <c r="D248" s="11">
        <v>9.2300000000000004E-3</v>
      </c>
      <c r="E248" s="10">
        <v>73248</v>
      </c>
      <c r="F248" s="10">
        <v>0</v>
      </c>
      <c r="G248" s="10">
        <v>73248</v>
      </c>
    </row>
    <row r="249" spans="1:7" s="1" customFormat="1" ht="15" x14ac:dyDescent="0.25">
      <c r="A249" s="5"/>
      <c r="B249" s="6" t="s">
        <v>60</v>
      </c>
      <c r="C249" s="12">
        <v>68442232</v>
      </c>
      <c r="D249" s="13">
        <v>5.5419999999999997E-2</v>
      </c>
      <c r="E249" s="12">
        <v>3793</v>
      </c>
      <c r="F249" s="12">
        <v>11500</v>
      </c>
      <c r="G249" s="12">
        <v>15293</v>
      </c>
    </row>
    <row r="250" spans="1:7" s="1" customFormat="1" ht="15" x14ac:dyDescent="0.25">
      <c r="A250" s="5"/>
      <c r="B250" s="9" t="s">
        <v>147</v>
      </c>
      <c r="C250" s="10">
        <v>65728875</v>
      </c>
      <c r="D250" s="11">
        <v>9.468E-2</v>
      </c>
      <c r="E250" s="10">
        <v>6223</v>
      </c>
      <c r="F250" s="10">
        <v>0</v>
      </c>
      <c r="G250" s="10">
        <v>6223</v>
      </c>
    </row>
    <row r="251" spans="1:7" s="1" customFormat="1" ht="15" x14ac:dyDescent="0.25">
      <c r="A251" s="5"/>
      <c r="B251" s="6" t="s">
        <v>148</v>
      </c>
      <c r="C251" s="12">
        <v>739724065</v>
      </c>
      <c r="D251" s="13">
        <v>4.6039999999999998E-2</v>
      </c>
      <c r="E251" s="12">
        <v>34054</v>
      </c>
      <c r="F251" s="12">
        <v>0</v>
      </c>
      <c r="G251" s="12">
        <v>34054</v>
      </c>
    </row>
    <row r="252" spans="1:7" s="1" customFormat="1" ht="15" x14ac:dyDescent="0.25">
      <c r="A252" s="5"/>
      <c r="B252" s="9" t="s">
        <v>233</v>
      </c>
      <c r="C252" s="10">
        <v>698317474</v>
      </c>
      <c r="D252" s="11">
        <v>1.477E-2</v>
      </c>
      <c r="E252" s="10">
        <v>10311</v>
      </c>
      <c r="F252" s="10">
        <v>0</v>
      </c>
      <c r="G252" s="10">
        <v>10311</v>
      </c>
    </row>
    <row r="253" spans="1:7" s="1" customFormat="1" ht="15" x14ac:dyDescent="0.25">
      <c r="A253" s="5"/>
      <c r="B253" s="20" t="s">
        <v>538</v>
      </c>
      <c r="C253" s="21"/>
      <c r="D253" s="22"/>
      <c r="E253" s="21"/>
      <c r="F253" s="21"/>
      <c r="G253" s="23">
        <f>SUM(G217:G252)</f>
        <v>42688804</v>
      </c>
    </row>
    <row r="254" spans="1:7" s="1" customFormat="1" ht="9" customHeight="1" x14ac:dyDescent="0.25">
      <c r="A254" s="5"/>
      <c r="B254" s="5"/>
      <c r="C254" s="17"/>
      <c r="D254" s="18"/>
      <c r="E254" s="17"/>
      <c r="F254" s="17"/>
      <c r="G254" s="19"/>
    </row>
    <row r="255" spans="1:7" s="1" customFormat="1" ht="15" x14ac:dyDescent="0.25">
      <c r="A255" s="2" t="s">
        <v>70</v>
      </c>
      <c r="B255" s="3"/>
      <c r="C255" s="3"/>
      <c r="D255" s="3"/>
      <c r="E255" s="3"/>
      <c r="F255" s="3"/>
      <c r="G255" s="4"/>
    </row>
    <row r="256" spans="1:7" s="1" customFormat="1" ht="15" x14ac:dyDescent="0.25">
      <c r="A256" s="5"/>
      <c r="B256" s="6" t="s">
        <v>71</v>
      </c>
      <c r="C256" s="12">
        <v>9883599544</v>
      </c>
      <c r="D256" s="13">
        <v>0.23402000000000001</v>
      </c>
      <c r="E256" s="12">
        <v>2313004</v>
      </c>
      <c r="F256" s="12">
        <v>0</v>
      </c>
      <c r="G256" s="12">
        <v>2313004</v>
      </c>
    </row>
    <row r="257" spans="1:7" s="1" customFormat="1" ht="15" x14ac:dyDescent="0.25">
      <c r="A257" s="5"/>
      <c r="B257" s="9" t="s">
        <v>57</v>
      </c>
      <c r="C257" s="10">
        <v>1991617859</v>
      </c>
      <c r="D257" s="11">
        <v>0.39917000000000002</v>
      </c>
      <c r="E257" s="10">
        <v>795000</v>
      </c>
      <c r="F257" s="10">
        <v>0</v>
      </c>
      <c r="G257" s="10">
        <v>795000</v>
      </c>
    </row>
    <row r="258" spans="1:7" s="1" customFormat="1" ht="15" x14ac:dyDescent="0.25">
      <c r="A258" s="5"/>
      <c r="B258" s="6" t="s">
        <v>64</v>
      </c>
      <c r="C258" s="12">
        <v>10369276763</v>
      </c>
      <c r="D258" s="13">
        <v>0.4209</v>
      </c>
      <c r="E258" s="12">
        <v>4364453</v>
      </c>
      <c r="F258" s="12">
        <v>0</v>
      </c>
      <c r="G258" s="12">
        <v>4364453</v>
      </c>
    </row>
    <row r="259" spans="1:7" s="1" customFormat="1" ht="15" x14ac:dyDescent="0.25">
      <c r="A259" s="5"/>
      <c r="B259" s="9" t="s">
        <v>236</v>
      </c>
      <c r="C259" s="10">
        <v>261739376</v>
      </c>
      <c r="D259" s="11">
        <v>0.98509000000000002</v>
      </c>
      <c r="E259" s="10">
        <v>257838</v>
      </c>
      <c r="F259" s="10">
        <v>0</v>
      </c>
      <c r="G259" s="10">
        <v>257838</v>
      </c>
    </row>
    <row r="260" spans="1:7" s="1" customFormat="1" ht="15" x14ac:dyDescent="0.25">
      <c r="A260" s="5"/>
      <c r="B260" s="6" t="s">
        <v>237</v>
      </c>
      <c r="C260" s="12">
        <v>995935532</v>
      </c>
      <c r="D260" s="13">
        <v>1.5</v>
      </c>
      <c r="E260" s="12">
        <v>1493903</v>
      </c>
      <c r="F260" s="12">
        <v>282412</v>
      </c>
      <c r="G260" s="12">
        <v>1776315</v>
      </c>
    </row>
    <row r="261" spans="1:7" s="1" customFormat="1" ht="15" x14ac:dyDescent="0.25">
      <c r="A261" s="5"/>
      <c r="B261" s="9" t="s">
        <v>239</v>
      </c>
      <c r="C261" s="10">
        <v>132393981</v>
      </c>
      <c r="D261" s="11">
        <v>0.41039999999999999</v>
      </c>
      <c r="E261" s="10">
        <v>54335</v>
      </c>
      <c r="F261" s="10">
        <v>0</v>
      </c>
      <c r="G261" s="10">
        <v>54335</v>
      </c>
    </row>
    <row r="262" spans="1:7" s="1" customFormat="1" ht="15" x14ac:dyDescent="0.25">
      <c r="A262" s="5"/>
      <c r="B262" s="6" t="s">
        <v>240</v>
      </c>
      <c r="C262" s="12">
        <v>1449645870</v>
      </c>
      <c r="D262" s="13">
        <v>0.9899</v>
      </c>
      <c r="E262" s="12">
        <v>1435000</v>
      </c>
      <c r="F262" s="12">
        <v>0</v>
      </c>
      <c r="G262" s="12">
        <v>1435000</v>
      </c>
    </row>
    <row r="263" spans="1:7" s="1" customFormat="1" ht="15" x14ac:dyDescent="0.25">
      <c r="A263" s="5"/>
      <c r="B263" s="9" t="s">
        <v>241</v>
      </c>
      <c r="C263" s="10">
        <v>114941796</v>
      </c>
      <c r="D263" s="11">
        <v>1.24109</v>
      </c>
      <c r="E263" s="10">
        <v>142653</v>
      </c>
      <c r="F263" s="10">
        <v>0</v>
      </c>
      <c r="G263" s="10">
        <v>142653</v>
      </c>
    </row>
    <row r="264" spans="1:7" s="1" customFormat="1" ht="15" x14ac:dyDescent="0.25">
      <c r="A264" s="5"/>
      <c r="B264" s="6" t="s">
        <v>319</v>
      </c>
      <c r="C264" s="12">
        <v>294397375</v>
      </c>
      <c r="D264" s="13">
        <v>0.59743999999999997</v>
      </c>
      <c r="E264" s="12">
        <v>175885</v>
      </c>
      <c r="F264" s="12">
        <v>0</v>
      </c>
      <c r="G264" s="12">
        <v>175885</v>
      </c>
    </row>
    <row r="265" spans="1:7" s="1" customFormat="1" ht="15" x14ac:dyDescent="0.25">
      <c r="A265" s="5"/>
      <c r="B265" s="9" t="s">
        <v>320</v>
      </c>
      <c r="C265" s="10">
        <v>862307196</v>
      </c>
      <c r="D265" s="11">
        <v>0.5</v>
      </c>
      <c r="E265" s="10">
        <v>431154</v>
      </c>
      <c r="F265" s="10">
        <v>0</v>
      </c>
      <c r="G265" s="10">
        <v>431154</v>
      </c>
    </row>
    <row r="266" spans="1:7" s="1" customFormat="1" ht="15" x14ac:dyDescent="0.25">
      <c r="A266" s="5"/>
      <c r="B266" s="6" t="s">
        <v>324</v>
      </c>
      <c r="C266" s="12">
        <v>298432085</v>
      </c>
      <c r="D266" s="13">
        <v>0.46873999999999999</v>
      </c>
      <c r="E266" s="12">
        <v>139889</v>
      </c>
      <c r="F266" s="12">
        <v>0</v>
      </c>
      <c r="G266" s="12">
        <v>139889</v>
      </c>
    </row>
    <row r="267" spans="1:7" s="1" customFormat="1" ht="15" x14ac:dyDescent="0.25">
      <c r="A267" s="5"/>
      <c r="B267" s="9" t="s">
        <v>332</v>
      </c>
      <c r="C267" s="10">
        <v>253610690</v>
      </c>
      <c r="D267" s="11">
        <v>0.41045999999999999</v>
      </c>
      <c r="E267" s="10">
        <v>104098</v>
      </c>
      <c r="F267" s="10">
        <v>0</v>
      </c>
      <c r="G267" s="10">
        <v>104098</v>
      </c>
    </row>
    <row r="268" spans="1:7" s="1" customFormat="1" ht="15" x14ac:dyDescent="0.25">
      <c r="A268" s="5"/>
      <c r="B268" s="6" t="s">
        <v>333</v>
      </c>
      <c r="C268" s="12">
        <v>58858763</v>
      </c>
      <c r="D268" s="13">
        <v>0.62387000000000004</v>
      </c>
      <c r="E268" s="12">
        <v>36720</v>
      </c>
      <c r="F268" s="12">
        <v>0</v>
      </c>
      <c r="G268" s="12">
        <v>36720</v>
      </c>
    </row>
    <row r="269" spans="1:7" s="1" customFormat="1" ht="15" x14ac:dyDescent="0.25">
      <c r="A269" s="5"/>
      <c r="B269" s="9" t="s">
        <v>344</v>
      </c>
      <c r="C269" s="10">
        <v>80675533</v>
      </c>
      <c r="D269" s="11">
        <v>0.53188000000000002</v>
      </c>
      <c r="E269" s="10">
        <v>42910</v>
      </c>
      <c r="F269" s="10">
        <v>0</v>
      </c>
      <c r="G269" s="10">
        <v>42910</v>
      </c>
    </row>
    <row r="270" spans="1:7" s="1" customFormat="1" ht="15" x14ac:dyDescent="0.25">
      <c r="A270" s="5"/>
      <c r="B270" s="6" t="s">
        <v>345</v>
      </c>
      <c r="C270" s="12">
        <v>76387664</v>
      </c>
      <c r="D270" s="13">
        <v>1.3001199999999999</v>
      </c>
      <c r="E270" s="12">
        <v>99313</v>
      </c>
      <c r="F270" s="12">
        <v>0</v>
      </c>
      <c r="G270" s="12">
        <v>99313</v>
      </c>
    </row>
    <row r="271" spans="1:7" s="1" customFormat="1" ht="15" x14ac:dyDescent="0.25">
      <c r="A271" s="5"/>
      <c r="B271" s="9" t="s">
        <v>346</v>
      </c>
      <c r="C271" s="10">
        <v>26780703</v>
      </c>
      <c r="D271" s="11">
        <v>0.93862000000000001</v>
      </c>
      <c r="E271" s="10">
        <v>25137</v>
      </c>
      <c r="F271" s="10">
        <v>0</v>
      </c>
      <c r="G271" s="10">
        <v>25137</v>
      </c>
    </row>
    <row r="272" spans="1:7" s="1" customFormat="1" ht="15" x14ac:dyDescent="0.25">
      <c r="A272" s="5"/>
      <c r="B272" s="6" t="s">
        <v>72</v>
      </c>
      <c r="C272" s="12">
        <v>12638805970</v>
      </c>
      <c r="D272" s="13">
        <v>0.24537</v>
      </c>
      <c r="E272" s="12">
        <v>3101175</v>
      </c>
      <c r="F272" s="12">
        <v>0</v>
      </c>
      <c r="G272" s="12">
        <v>3101175</v>
      </c>
    </row>
    <row r="273" spans="1:7" s="1" customFormat="1" ht="15" x14ac:dyDescent="0.25">
      <c r="A273" s="5"/>
      <c r="B273" s="9" t="s">
        <v>73</v>
      </c>
      <c r="C273" s="10">
        <v>1015983298</v>
      </c>
      <c r="D273" s="11">
        <v>0.33072000000000001</v>
      </c>
      <c r="E273" s="10">
        <v>336008</v>
      </c>
      <c r="F273" s="10">
        <v>0</v>
      </c>
      <c r="G273" s="10">
        <v>336008</v>
      </c>
    </row>
    <row r="274" spans="1:7" s="1" customFormat="1" ht="15" x14ac:dyDescent="0.25">
      <c r="A274" s="5"/>
      <c r="B274" s="6" t="s">
        <v>529</v>
      </c>
      <c r="C274" s="12">
        <v>134461978</v>
      </c>
      <c r="D274" s="13">
        <v>0.12402000000000001</v>
      </c>
      <c r="E274" s="12">
        <v>16676</v>
      </c>
      <c r="F274" s="12">
        <v>0</v>
      </c>
      <c r="G274" s="12">
        <v>16676</v>
      </c>
    </row>
    <row r="275" spans="1:7" s="1" customFormat="1" ht="15" x14ac:dyDescent="0.25">
      <c r="A275" s="5"/>
      <c r="B275" s="9" t="s">
        <v>433</v>
      </c>
      <c r="C275" s="10">
        <v>1467498438</v>
      </c>
      <c r="D275" s="11">
        <v>0.5</v>
      </c>
      <c r="E275" s="10">
        <v>733749</v>
      </c>
      <c r="F275" s="10">
        <v>0</v>
      </c>
      <c r="G275" s="10">
        <v>733749</v>
      </c>
    </row>
    <row r="276" spans="1:7" s="1" customFormat="1" ht="15" x14ac:dyDescent="0.25">
      <c r="A276" s="5"/>
      <c r="B276" s="6" t="s">
        <v>74</v>
      </c>
      <c r="C276" s="12">
        <v>117343054</v>
      </c>
      <c r="D276" s="13">
        <v>0.28494999999999998</v>
      </c>
      <c r="E276" s="12">
        <v>33436</v>
      </c>
      <c r="F276" s="12">
        <v>0</v>
      </c>
      <c r="G276" s="12">
        <v>33436</v>
      </c>
    </row>
    <row r="277" spans="1:7" s="1" customFormat="1" ht="15" x14ac:dyDescent="0.25">
      <c r="A277" s="5"/>
      <c r="B277" s="9" t="s">
        <v>502</v>
      </c>
      <c r="C277" s="10">
        <v>299632800</v>
      </c>
      <c r="D277" s="11">
        <v>0.5</v>
      </c>
      <c r="E277" s="10">
        <v>149816</v>
      </c>
      <c r="F277" s="10">
        <v>152754</v>
      </c>
      <c r="G277" s="10">
        <v>302570</v>
      </c>
    </row>
    <row r="278" spans="1:7" s="1" customFormat="1" ht="15" x14ac:dyDescent="0.25">
      <c r="A278" s="5"/>
      <c r="B278" s="6" t="s">
        <v>75</v>
      </c>
      <c r="C278" s="12">
        <v>872342823</v>
      </c>
      <c r="D278" s="13">
        <v>0.5</v>
      </c>
      <c r="E278" s="12">
        <v>436171</v>
      </c>
      <c r="F278" s="12">
        <v>0</v>
      </c>
      <c r="G278" s="12">
        <v>436171</v>
      </c>
    </row>
    <row r="279" spans="1:7" s="1" customFormat="1" ht="15" x14ac:dyDescent="0.25">
      <c r="A279" s="5"/>
      <c r="B279" s="9" t="s">
        <v>76</v>
      </c>
      <c r="C279" s="10">
        <v>308571765</v>
      </c>
      <c r="D279" s="11">
        <v>0.29560999999999998</v>
      </c>
      <c r="E279" s="10">
        <v>91215</v>
      </c>
      <c r="F279" s="10">
        <v>0</v>
      </c>
      <c r="G279" s="10">
        <v>91215</v>
      </c>
    </row>
    <row r="280" spans="1:7" ht="15" x14ac:dyDescent="0.25">
      <c r="A280" s="5"/>
      <c r="B280" s="6" t="s">
        <v>77</v>
      </c>
      <c r="C280" s="12">
        <v>257374912</v>
      </c>
      <c r="D280" s="13">
        <v>0.31329000000000001</v>
      </c>
      <c r="E280" s="12">
        <v>80632</v>
      </c>
      <c r="F280" s="12">
        <v>0</v>
      </c>
      <c r="G280" s="12">
        <v>80632</v>
      </c>
    </row>
    <row r="281" spans="1:7" ht="15" x14ac:dyDescent="0.25">
      <c r="A281" s="5"/>
      <c r="B281" s="9" t="s">
        <v>78</v>
      </c>
      <c r="C281" s="10">
        <v>60802520</v>
      </c>
      <c r="D281" s="11">
        <v>0.32389000000000001</v>
      </c>
      <c r="E281" s="10">
        <v>19693</v>
      </c>
      <c r="F281" s="10">
        <v>0</v>
      </c>
      <c r="G281" s="10">
        <v>19693</v>
      </c>
    </row>
    <row r="282" spans="1:7" ht="15" x14ac:dyDescent="0.25">
      <c r="A282" s="5"/>
      <c r="B282" s="6" t="s">
        <v>465</v>
      </c>
      <c r="C282" s="12">
        <v>83739812</v>
      </c>
      <c r="D282" s="13">
        <v>0.29174</v>
      </c>
      <c r="E282" s="12">
        <v>24430</v>
      </c>
      <c r="F282" s="12">
        <v>0</v>
      </c>
      <c r="G282" s="12">
        <v>24430</v>
      </c>
    </row>
    <row r="283" spans="1:7" ht="15" x14ac:dyDescent="0.25">
      <c r="A283" s="5"/>
      <c r="B283" s="9" t="s">
        <v>347</v>
      </c>
      <c r="C283" s="10">
        <v>2755206426</v>
      </c>
      <c r="D283" s="11">
        <v>0.36042000000000002</v>
      </c>
      <c r="E283" s="10">
        <v>993028</v>
      </c>
      <c r="F283" s="10">
        <v>0</v>
      </c>
      <c r="G283" s="10">
        <v>993028</v>
      </c>
    </row>
    <row r="284" spans="1:7" ht="15" x14ac:dyDescent="0.25">
      <c r="A284" s="5"/>
      <c r="B284" s="6" t="s">
        <v>348</v>
      </c>
      <c r="C284" s="12">
        <v>31068199</v>
      </c>
      <c r="D284" s="13">
        <v>0.34117999999999998</v>
      </c>
      <c r="E284" s="12">
        <v>10600</v>
      </c>
      <c r="F284" s="12">
        <v>0</v>
      </c>
      <c r="G284" s="12">
        <v>10600</v>
      </c>
    </row>
    <row r="285" spans="1:7" ht="15" x14ac:dyDescent="0.25">
      <c r="A285" s="5"/>
      <c r="B285" s="9" t="s">
        <v>79</v>
      </c>
      <c r="C285" s="10">
        <v>793452387</v>
      </c>
      <c r="D285" s="11">
        <v>0.40586</v>
      </c>
      <c r="E285" s="10">
        <v>322032</v>
      </c>
      <c r="F285" s="10">
        <v>0</v>
      </c>
      <c r="G285" s="10">
        <v>322032</v>
      </c>
    </row>
    <row r="286" spans="1:7" ht="15" x14ac:dyDescent="0.25">
      <c r="A286" s="5"/>
      <c r="B286" s="6" t="s">
        <v>434</v>
      </c>
      <c r="C286" s="12">
        <v>79473761</v>
      </c>
      <c r="D286" s="13">
        <v>0.22534999999999999</v>
      </c>
      <c r="E286" s="12">
        <v>17909</v>
      </c>
      <c r="F286" s="12">
        <v>0</v>
      </c>
      <c r="G286" s="12">
        <v>17909</v>
      </c>
    </row>
    <row r="287" spans="1:7" ht="15" x14ac:dyDescent="0.25">
      <c r="A287" s="5"/>
      <c r="B287" s="9" t="s">
        <v>446</v>
      </c>
      <c r="C287" s="10">
        <v>1079363072</v>
      </c>
      <c r="D287" s="11">
        <v>0.31755</v>
      </c>
      <c r="E287" s="10">
        <v>342753</v>
      </c>
      <c r="F287" s="10">
        <v>0</v>
      </c>
      <c r="G287" s="10">
        <v>342753</v>
      </c>
    </row>
    <row r="288" spans="1:7" ht="15" x14ac:dyDescent="0.25">
      <c r="A288" s="5"/>
      <c r="B288" s="6" t="s">
        <v>447</v>
      </c>
      <c r="C288" s="12">
        <v>1073903860</v>
      </c>
      <c r="D288" s="13">
        <v>0.95232000000000006</v>
      </c>
      <c r="E288" s="12">
        <v>1022697</v>
      </c>
      <c r="F288" s="12">
        <v>0</v>
      </c>
      <c r="G288" s="12">
        <v>1022697</v>
      </c>
    </row>
    <row r="289" spans="1:7" ht="15" x14ac:dyDescent="0.25">
      <c r="A289" s="5"/>
      <c r="B289" s="9" t="s">
        <v>448</v>
      </c>
      <c r="C289" s="10">
        <v>1061541989</v>
      </c>
      <c r="D289" s="11">
        <v>0</v>
      </c>
      <c r="E289" s="10">
        <v>0</v>
      </c>
      <c r="F289" s="10">
        <v>780147</v>
      </c>
      <c r="G289" s="10">
        <v>780147</v>
      </c>
    </row>
    <row r="290" spans="1:7" ht="15" x14ac:dyDescent="0.25">
      <c r="A290" s="5"/>
      <c r="B290" s="20" t="s">
        <v>538</v>
      </c>
      <c r="C290" s="21"/>
      <c r="D290" s="22"/>
      <c r="E290" s="21"/>
      <c r="F290" s="21"/>
      <c r="G290" s="23">
        <f>SUM(G256:G289)</f>
        <v>20858625</v>
      </c>
    </row>
    <row r="291" spans="1:7" ht="10.5" customHeight="1" x14ac:dyDescent="0.25">
      <c r="A291" s="5"/>
      <c r="B291" s="5"/>
      <c r="C291" s="17"/>
      <c r="D291" s="18"/>
      <c r="E291" s="17"/>
      <c r="F291" s="17"/>
      <c r="G291" s="19"/>
    </row>
    <row r="292" spans="1:7" ht="15" x14ac:dyDescent="0.25">
      <c r="A292" s="2" t="s">
        <v>80</v>
      </c>
      <c r="B292" s="3"/>
      <c r="C292" s="3"/>
      <c r="D292" s="3"/>
      <c r="E292" s="3"/>
      <c r="F292" s="3"/>
      <c r="G292" s="4"/>
    </row>
    <row r="293" spans="1:7" ht="15" x14ac:dyDescent="0.25">
      <c r="A293" s="5"/>
      <c r="B293" s="6" t="s">
        <v>81</v>
      </c>
      <c r="C293" s="12">
        <v>25669683984</v>
      </c>
      <c r="D293" s="13">
        <v>0.32429999999999998</v>
      </c>
      <c r="E293" s="12">
        <v>8324758</v>
      </c>
      <c r="F293" s="12">
        <v>0</v>
      </c>
      <c r="G293" s="12">
        <v>8324758</v>
      </c>
    </row>
    <row r="294" spans="1:7" ht="15" x14ac:dyDescent="0.25">
      <c r="A294" s="5"/>
      <c r="B294" s="9" t="s">
        <v>82</v>
      </c>
      <c r="C294" s="10">
        <v>6842967171</v>
      </c>
      <c r="D294" s="11">
        <v>0</v>
      </c>
      <c r="E294" s="10">
        <v>0</v>
      </c>
      <c r="F294" s="10">
        <v>271204</v>
      </c>
      <c r="G294" s="10">
        <v>271204</v>
      </c>
    </row>
    <row r="295" spans="1:7" ht="15" x14ac:dyDescent="0.25">
      <c r="A295" s="5"/>
      <c r="B295" s="6" t="s">
        <v>57</v>
      </c>
      <c r="C295" s="12">
        <v>18771863421</v>
      </c>
      <c r="D295" s="13">
        <v>0.39141999999999999</v>
      </c>
      <c r="E295" s="12">
        <v>7347667</v>
      </c>
      <c r="F295" s="12">
        <v>3538108</v>
      </c>
      <c r="G295" s="12">
        <v>10885775</v>
      </c>
    </row>
    <row r="296" spans="1:7" ht="15" x14ac:dyDescent="0.25">
      <c r="A296" s="5"/>
      <c r="B296" s="9" t="s">
        <v>236</v>
      </c>
      <c r="C296" s="10">
        <v>6677874372</v>
      </c>
      <c r="D296" s="11">
        <v>1.25</v>
      </c>
      <c r="E296" s="10">
        <v>8347343</v>
      </c>
      <c r="F296" s="10">
        <v>1014670</v>
      </c>
      <c r="G296" s="10">
        <v>9362013</v>
      </c>
    </row>
    <row r="297" spans="1:7" ht="15" x14ac:dyDescent="0.25">
      <c r="A297" s="5"/>
      <c r="B297" s="6" t="s">
        <v>237</v>
      </c>
      <c r="C297" s="12">
        <v>4060401885</v>
      </c>
      <c r="D297" s="13">
        <v>0.55159999999999998</v>
      </c>
      <c r="E297" s="12">
        <v>2239717</v>
      </c>
      <c r="F297" s="12">
        <v>0</v>
      </c>
      <c r="G297" s="12">
        <v>2239717</v>
      </c>
    </row>
    <row r="298" spans="1:7" ht="15" x14ac:dyDescent="0.25">
      <c r="A298" s="5"/>
      <c r="B298" s="9" t="s">
        <v>238</v>
      </c>
      <c r="C298" s="10">
        <v>7534394770</v>
      </c>
      <c r="D298" s="11">
        <v>0.81394</v>
      </c>
      <c r="E298" s="10">
        <v>6132544</v>
      </c>
      <c r="F298" s="10">
        <v>0</v>
      </c>
      <c r="G298" s="10">
        <v>6132544</v>
      </c>
    </row>
    <row r="299" spans="1:7" ht="15" x14ac:dyDescent="0.25">
      <c r="A299" s="5"/>
      <c r="B299" s="6" t="s">
        <v>240</v>
      </c>
      <c r="C299" s="12">
        <v>3262921536</v>
      </c>
      <c r="D299" s="13">
        <v>1.18</v>
      </c>
      <c r="E299" s="12">
        <v>3850247</v>
      </c>
      <c r="F299" s="12">
        <v>443008</v>
      </c>
      <c r="G299" s="12">
        <v>4293255</v>
      </c>
    </row>
    <row r="300" spans="1:7" ht="15" x14ac:dyDescent="0.25">
      <c r="A300" s="5"/>
      <c r="B300" s="9" t="s">
        <v>83</v>
      </c>
      <c r="C300" s="10">
        <v>4007057449</v>
      </c>
      <c r="D300" s="11">
        <v>0.45667000000000002</v>
      </c>
      <c r="E300" s="10">
        <v>1829900</v>
      </c>
      <c r="F300" s="10">
        <v>0</v>
      </c>
      <c r="G300" s="10">
        <v>1829900</v>
      </c>
    </row>
    <row r="301" spans="1:7" ht="15" x14ac:dyDescent="0.25">
      <c r="A301" s="5"/>
      <c r="B301" s="6" t="s">
        <v>84</v>
      </c>
      <c r="C301" s="12">
        <v>7872171268</v>
      </c>
      <c r="D301" s="13">
        <v>0.10988000000000001</v>
      </c>
      <c r="E301" s="12">
        <v>864963</v>
      </c>
      <c r="F301" s="12">
        <v>0</v>
      </c>
      <c r="G301" s="12">
        <v>864963</v>
      </c>
    </row>
    <row r="302" spans="1:7" ht="15" x14ac:dyDescent="0.25">
      <c r="A302" s="5"/>
      <c r="B302" s="9" t="s">
        <v>85</v>
      </c>
      <c r="C302" s="10">
        <v>6897820563</v>
      </c>
      <c r="D302" s="11">
        <v>0.36820000000000003</v>
      </c>
      <c r="E302" s="10">
        <v>2539752</v>
      </c>
      <c r="F302" s="10">
        <v>0</v>
      </c>
      <c r="G302" s="10">
        <v>2539752</v>
      </c>
    </row>
    <row r="303" spans="1:7" ht="15" x14ac:dyDescent="0.25">
      <c r="A303" s="5"/>
      <c r="B303" s="6" t="s">
        <v>86</v>
      </c>
      <c r="C303" s="12">
        <v>18771863421</v>
      </c>
      <c r="D303" s="13">
        <v>0.33123000000000002</v>
      </c>
      <c r="E303" s="12">
        <v>6217808</v>
      </c>
      <c r="F303" s="12">
        <v>0</v>
      </c>
      <c r="G303" s="12">
        <v>6217808</v>
      </c>
    </row>
    <row r="304" spans="1:7" ht="15" x14ac:dyDescent="0.25">
      <c r="A304" s="5"/>
      <c r="B304" s="9" t="s">
        <v>449</v>
      </c>
      <c r="C304" s="10">
        <v>6892634704</v>
      </c>
      <c r="D304" s="11">
        <v>0.13721</v>
      </c>
      <c r="E304" s="10">
        <v>945739</v>
      </c>
      <c r="F304" s="10">
        <v>0</v>
      </c>
      <c r="G304" s="10">
        <v>945739</v>
      </c>
    </row>
    <row r="305" spans="1:7" ht="15" x14ac:dyDescent="0.25">
      <c r="A305" s="5"/>
      <c r="B305" s="6" t="s">
        <v>87</v>
      </c>
      <c r="C305" s="12">
        <v>7872171268</v>
      </c>
      <c r="D305" s="13">
        <v>0.20610999999999999</v>
      </c>
      <c r="E305" s="12">
        <v>1622571</v>
      </c>
      <c r="F305" s="12">
        <v>1261918</v>
      </c>
      <c r="G305" s="12">
        <v>2884489</v>
      </c>
    </row>
    <row r="306" spans="1:7" ht="15" x14ac:dyDescent="0.25">
      <c r="A306" s="24"/>
      <c r="B306" s="9" t="s">
        <v>59</v>
      </c>
      <c r="C306" s="10">
        <v>6892634704</v>
      </c>
      <c r="D306" s="11">
        <v>4.0600000000000002E-3</v>
      </c>
      <c r="E306" s="10">
        <v>27968</v>
      </c>
      <c r="F306" s="10">
        <v>0</v>
      </c>
      <c r="G306" s="10">
        <v>27968</v>
      </c>
    </row>
    <row r="307" spans="1:7" ht="15" x14ac:dyDescent="0.25">
      <c r="A307" s="24"/>
      <c r="B307" s="6" t="s">
        <v>60</v>
      </c>
      <c r="C307" s="12">
        <v>4007057449</v>
      </c>
      <c r="D307" s="13">
        <v>9.5700000000000004E-3</v>
      </c>
      <c r="E307" s="12">
        <v>38355</v>
      </c>
      <c r="F307" s="12">
        <v>0</v>
      </c>
      <c r="G307" s="12">
        <v>38355</v>
      </c>
    </row>
    <row r="308" spans="1:7" ht="15" x14ac:dyDescent="0.25">
      <c r="A308" s="24"/>
      <c r="B308" s="9" t="s">
        <v>466</v>
      </c>
      <c r="C308" s="10">
        <v>3979109920</v>
      </c>
      <c r="D308" s="11">
        <v>0</v>
      </c>
      <c r="E308" s="10">
        <v>0</v>
      </c>
      <c r="F308" s="10">
        <v>217470</v>
      </c>
      <c r="G308" s="10">
        <v>217470</v>
      </c>
    </row>
    <row r="309" spans="1:7" ht="15" x14ac:dyDescent="0.25">
      <c r="A309" s="24"/>
      <c r="B309" s="20" t="s">
        <v>538</v>
      </c>
      <c r="C309" s="21"/>
      <c r="D309" s="22"/>
      <c r="E309" s="21"/>
      <c r="F309" s="21"/>
      <c r="G309" s="23">
        <f>SUM(G293:G308)</f>
        <v>57075710</v>
      </c>
    </row>
    <row r="310" spans="1:7" ht="13.5" x14ac:dyDescent="0.25">
      <c r="A310" s="24"/>
      <c r="B310" s="5"/>
      <c r="C310" s="17"/>
      <c r="D310" s="18"/>
      <c r="E310" s="17"/>
      <c r="F310" s="17"/>
      <c r="G310" s="19"/>
    </row>
    <row r="311" spans="1:7" ht="15" x14ac:dyDescent="0.25">
      <c r="A311" s="2" t="s">
        <v>88</v>
      </c>
      <c r="B311" s="3"/>
      <c r="C311" s="3"/>
      <c r="D311" s="3"/>
      <c r="E311" s="3"/>
      <c r="F311" s="3"/>
      <c r="G311" s="4"/>
    </row>
    <row r="312" spans="1:7" ht="15" x14ac:dyDescent="0.25">
      <c r="A312" s="24"/>
      <c r="B312" s="6" t="s">
        <v>89</v>
      </c>
      <c r="C312" s="12">
        <v>6382481538</v>
      </c>
      <c r="D312" s="13">
        <v>0.30820999999999998</v>
      </c>
      <c r="E312" s="12">
        <v>1967139</v>
      </c>
      <c r="F312" s="12">
        <v>0</v>
      </c>
      <c r="G312" s="12">
        <v>1967139</v>
      </c>
    </row>
    <row r="313" spans="1:7" ht="15" x14ac:dyDescent="0.25">
      <c r="A313" s="24"/>
      <c r="B313" s="9" t="s">
        <v>57</v>
      </c>
      <c r="C313" s="10">
        <v>40435950</v>
      </c>
      <c r="D313" s="11">
        <v>0.58814</v>
      </c>
      <c r="E313" s="10">
        <v>23782</v>
      </c>
      <c r="F313" s="10">
        <v>0</v>
      </c>
      <c r="G313" s="10">
        <v>23782</v>
      </c>
    </row>
    <row r="314" spans="1:7" ht="15" x14ac:dyDescent="0.25">
      <c r="A314" s="5"/>
      <c r="B314" s="6" t="s">
        <v>64</v>
      </c>
      <c r="C314" s="12">
        <v>9148358079</v>
      </c>
      <c r="D314" s="13">
        <v>5.7759999999999999E-2</v>
      </c>
      <c r="E314" s="12">
        <v>528452</v>
      </c>
      <c r="F314" s="12">
        <v>0</v>
      </c>
      <c r="G314" s="12">
        <v>528452</v>
      </c>
    </row>
    <row r="315" spans="1:7" ht="15" x14ac:dyDescent="0.25">
      <c r="A315" s="5"/>
      <c r="B315" s="9" t="s">
        <v>236</v>
      </c>
      <c r="C315" s="10">
        <v>7793705759</v>
      </c>
      <c r="D315" s="11">
        <v>1.3090299999999999</v>
      </c>
      <c r="E315" s="10">
        <v>10202180</v>
      </c>
      <c r="F315" s="10">
        <v>0</v>
      </c>
      <c r="G315" s="10">
        <v>10202180</v>
      </c>
    </row>
    <row r="316" spans="1:7" ht="15" x14ac:dyDescent="0.25">
      <c r="A316" s="5"/>
      <c r="B316" s="6" t="s">
        <v>237</v>
      </c>
      <c r="C316" s="12">
        <v>607419226</v>
      </c>
      <c r="D316" s="13">
        <v>0.82303999999999999</v>
      </c>
      <c r="E316" s="12">
        <v>499932</v>
      </c>
      <c r="F316" s="12">
        <v>0</v>
      </c>
      <c r="G316" s="12">
        <v>499932</v>
      </c>
    </row>
    <row r="317" spans="1:7" ht="15" x14ac:dyDescent="0.25">
      <c r="A317" s="5"/>
      <c r="B317" s="9" t="s">
        <v>239</v>
      </c>
      <c r="C317" s="10">
        <v>436968741</v>
      </c>
      <c r="D317" s="11">
        <v>1.5</v>
      </c>
      <c r="E317" s="10">
        <v>655453</v>
      </c>
      <c r="F317" s="10">
        <v>127773</v>
      </c>
      <c r="G317" s="10">
        <v>783226</v>
      </c>
    </row>
    <row r="318" spans="1:7" ht="15" x14ac:dyDescent="0.25">
      <c r="A318" s="5"/>
      <c r="B318" s="6" t="s">
        <v>240</v>
      </c>
      <c r="C318" s="12">
        <v>142496327</v>
      </c>
      <c r="D318" s="13">
        <v>0.92139000000000004</v>
      </c>
      <c r="E318" s="12">
        <v>130422</v>
      </c>
      <c r="F318" s="12">
        <v>33539</v>
      </c>
      <c r="G318" s="12">
        <v>163961</v>
      </c>
    </row>
    <row r="319" spans="1:7" ht="15" x14ac:dyDescent="0.25">
      <c r="A319" s="5"/>
      <c r="B319" s="9" t="s">
        <v>319</v>
      </c>
      <c r="C319" s="10">
        <v>4524485</v>
      </c>
      <c r="D319" s="11">
        <v>0.33152999999999999</v>
      </c>
      <c r="E319" s="10">
        <v>1500</v>
      </c>
      <c r="F319" s="10">
        <v>0</v>
      </c>
      <c r="G319" s="10">
        <v>1500</v>
      </c>
    </row>
    <row r="320" spans="1:7" ht="15" x14ac:dyDescent="0.25">
      <c r="A320" s="5"/>
      <c r="B320" s="6" t="s">
        <v>320</v>
      </c>
      <c r="C320" s="12">
        <v>140009850</v>
      </c>
      <c r="D320" s="13">
        <v>1.12001</v>
      </c>
      <c r="E320" s="12">
        <v>156813</v>
      </c>
      <c r="F320" s="12">
        <v>0</v>
      </c>
      <c r="G320" s="12">
        <v>156813</v>
      </c>
    </row>
    <row r="321" spans="1:7" ht="15" x14ac:dyDescent="0.25">
      <c r="A321" s="5"/>
      <c r="B321" s="9" t="s">
        <v>321</v>
      </c>
      <c r="C321" s="10">
        <v>5728868</v>
      </c>
      <c r="D321" s="11">
        <v>0.47900999999999999</v>
      </c>
      <c r="E321" s="10">
        <v>2744</v>
      </c>
      <c r="F321" s="10">
        <v>0</v>
      </c>
      <c r="G321" s="10">
        <v>2744</v>
      </c>
    </row>
    <row r="322" spans="1:7" ht="15" x14ac:dyDescent="0.25">
      <c r="A322" s="5"/>
      <c r="B322" s="6" t="s">
        <v>90</v>
      </c>
      <c r="C322" s="12">
        <v>9189147456</v>
      </c>
      <c r="D322" s="13">
        <v>0.40891</v>
      </c>
      <c r="E322" s="12">
        <v>3757588</v>
      </c>
      <c r="F322" s="12">
        <v>0</v>
      </c>
      <c r="G322" s="12">
        <v>3757588</v>
      </c>
    </row>
    <row r="323" spans="1:7" ht="15" x14ac:dyDescent="0.25">
      <c r="A323" s="5"/>
      <c r="B323" s="9" t="s">
        <v>530</v>
      </c>
      <c r="C323" s="10">
        <v>9189147456</v>
      </c>
      <c r="D323" s="11">
        <v>6.5030000000000004E-2</v>
      </c>
      <c r="E323" s="10">
        <v>597549</v>
      </c>
      <c r="F323" s="10">
        <v>0</v>
      </c>
      <c r="G323" s="10">
        <v>597549</v>
      </c>
    </row>
    <row r="324" spans="1:7" ht="15" x14ac:dyDescent="0.25">
      <c r="A324" s="5"/>
      <c r="B324" s="6" t="s">
        <v>85</v>
      </c>
      <c r="C324" s="12">
        <v>7802923767</v>
      </c>
      <c r="D324" s="13">
        <v>0.5</v>
      </c>
      <c r="E324" s="12">
        <v>3901462</v>
      </c>
      <c r="F324" s="12">
        <v>0</v>
      </c>
      <c r="G324" s="12">
        <v>3901462</v>
      </c>
    </row>
    <row r="325" spans="1:7" ht="15" x14ac:dyDescent="0.25">
      <c r="A325" s="5"/>
      <c r="B325" s="9" t="s">
        <v>152</v>
      </c>
      <c r="C325" s="10">
        <v>612960437</v>
      </c>
      <c r="D325" s="11">
        <v>0.46332000000000001</v>
      </c>
      <c r="E325" s="10">
        <v>283997</v>
      </c>
      <c r="F325" s="10">
        <v>0</v>
      </c>
      <c r="G325" s="10">
        <v>283997</v>
      </c>
    </row>
    <row r="326" spans="1:7" ht="15" x14ac:dyDescent="0.25">
      <c r="A326" s="5"/>
      <c r="B326" s="6" t="s">
        <v>92</v>
      </c>
      <c r="C326" s="12">
        <v>438219128</v>
      </c>
      <c r="D326" s="13">
        <v>0.5</v>
      </c>
      <c r="E326" s="12">
        <v>219110</v>
      </c>
      <c r="F326" s="12">
        <v>0</v>
      </c>
      <c r="G326" s="12">
        <v>219110</v>
      </c>
    </row>
    <row r="327" spans="1:7" ht="15" x14ac:dyDescent="0.25">
      <c r="A327" s="5"/>
      <c r="B327" s="9" t="s">
        <v>93</v>
      </c>
      <c r="C327" s="10">
        <v>144254658</v>
      </c>
      <c r="D327" s="11">
        <v>0.39696999999999999</v>
      </c>
      <c r="E327" s="10">
        <v>57265</v>
      </c>
      <c r="F327" s="10">
        <v>0</v>
      </c>
      <c r="G327" s="10">
        <v>57265</v>
      </c>
    </row>
    <row r="328" spans="1:7" ht="15" x14ac:dyDescent="0.25">
      <c r="A328" s="5"/>
      <c r="B328" s="6" t="s">
        <v>246</v>
      </c>
      <c r="C328" s="12">
        <v>140543575</v>
      </c>
      <c r="D328" s="13">
        <v>0.35419</v>
      </c>
      <c r="E328" s="12">
        <v>49779</v>
      </c>
      <c r="F328" s="12">
        <v>0</v>
      </c>
      <c r="G328" s="12">
        <v>49779</v>
      </c>
    </row>
    <row r="329" spans="1:7" ht="15" x14ac:dyDescent="0.25">
      <c r="A329" s="5"/>
      <c r="B329" s="9" t="s">
        <v>349</v>
      </c>
      <c r="C329" s="10">
        <v>268101049</v>
      </c>
      <c r="D329" s="11">
        <v>0.11563</v>
      </c>
      <c r="E329" s="10">
        <v>31000</v>
      </c>
      <c r="F329" s="10">
        <v>0</v>
      </c>
      <c r="G329" s="10">
        <v>31000</v>
      </c>
    </row>
    <row r="330" spans="1:7" ht="15" x14ac:dyDescent="0.25">
      <c r="A330" s="5"/>
      <c r="B330" s="6" t="s">
        <v>59</v>
      </c>
      <c r="C330" s="12">
        <v>436122741</v>
      </c>
      <c r="D330" s="13">
        <v>1.17E-2</v>
      </c>
      <c r="E330" s="12">
        <v>5101</v>
      </c>
      <c r="F330" s="12">
        <v>0</v>
      </c>
      <c r="G330" s="12">
        <v>5101</v>
      </c>
    </row>
    <row r="331" spans="1:7" ht="15" x14ac:dyDescent="0.25">
      <c r="A331" s="5"/>
      <c r="B331" s="9" t="s">
        <v>60</v>
      </c>
      <c r="C331" s="10">
        <v>589275765</v>
      </c>
      <c r="D331" s="11">
        <v>2.6339999999999999E-2</v>
      </c>
      <c r="E331" s="10">
        <v>15522</v>
      </c>
      <c r="F331" s="10">
        <v>0</v>
      </c>
      <c r="G331" s="10">
        <v>15522</v>
      </c>
    </row>
    <row r="332" spans="1:7" ht="15" x14ac:dyDescent="0.25">
      <c r="A332" s="5"/>
      <c r="B332" s="6" t="s">
        <v>147</v>
      </c>
      <c r="C332" s="12">
        <v>140488698</v>
      </c>
      <c r="D332" s="13">
        <v>2.8469999999999999E-2</v>
      </c>
      <c r="E332" s="12">
        <v>4000</v>
      </c>
      <c r="F332" s="12">
        <v>0</v>
      </c>
      <c r="G332" s="12">
        <v>4000</v>
      </c>
    </row>
    <row r="333" spans="1:7" ht="15" x14ac:dyDescent="0.25">
      <c r="A333" s="5"/>
      <c r="B333" s="2" t="s">
        <v>538</v>
      </c>
      <c r="C333" s="14"/>
      <c r="D333" s="15"/>
      <c r="E333" s="14"/>
      <c r="F333" s="14"/>
      <c r="G333" s="16">
        <f>SUM(G312:G332)</f>
        <v>23252102</v>
      </c>
    </row>
    <row r="334" spans="1:7" ht="13.5" x14ac:dyDescent="0.25">
      <c r="A334" s="5"/>
      <c r="B334" s="5"/>
      <c r="C334" s="17"/>
      <c r="D334" s="18"/>
      <c r="E334" s="17"/>
      <c r="F334" s="17"/>
      <c r="G334" s="19"/>
    </row>
    <row r="335" spans="1:7" ht="15" x14ac:dyDescent="0.25">
      <c r="A335" s="2" t="s">
        <v>94</v>
      </c>
      <c r="B335" s="3"/>
      <c r="C335" s="3"/>
      <c r="D335" s="3"/>
      <c r="E335" s="3"/>
      <c r="F335" s="3"/>
      <c r="G335" s="4"/>
    </row>
    <row r="336" spans="1:7" ht="15" x14ac:dyDescent="0.25">
      <c r="A336" s="5"/>
      <c r="B336" s="6" t="s">
        <v>531</v>
      </c>
      <c r="C336" s="12">
        <v>523840238121</v>
      </c>
      <c r="D336" s="13">
        <v>0.2581</v>
      </c>
      <c r="E336" s="12">
        <v>135202676</v>
      </c>
      <c r="F336" s="12">
        <v>15982157</v>
      </c>
      <c r="G336" s="12">
        <v>151184833</v>
      </c>
    </row>
    <row r="337" spans="1:7" ht="15" x14ac:dyDescent="0.25">
      <c r="A337" s="5"/>
      <c r="B337" s="9" t="s">
        <v>95</v>
      </c>
      <c r="C337" s="10">
        <v>499105430</v>
      </c>
      <c r="D337" s="11">
        <v>0.33898</v>
      </c>
      <c r="E337" s="10">
        <v>169187</v>
      </c>
      <c r="F337" s="10">
        <v>0</v>
      </c>
      <c r="G337" s="10">
        <v>169187</v>
      </c>
    </row>
    <row r="338" spans="1:7" ht="15" x14ac:dyDescent="0.25">
      <c r="A338" s="5"/>
      <c r="B338" s="6" t="s">
        <v>96</v>
      </c>
      <c r="C338" s="12">
        <v>84900207130</v>
      </c>
      <c r="D338" s="13">
        <v>0.31253999999999998</v>
      </c>
      <c r="E338" s="12">
        <v>26534794</v>
      </c>
      <c r="F338" s="12">
        <v>0</v>
      </c>
      <c r="G338" s="12">
        <v>26534794</v>
      </c>
    </row>
    <row r="339" spans="1:7" ht="15" x14ac:dyDescent="0.25">
      <c r="A339" s="5"/>
      <c r="B339" s="9" t="s">
        <v>97</v>
      </c>
      <c r="C339" s="10">
        <v>137989463085</v>
      </c>
      <c r="D339" s="11">
        <v>0.15456</v>
      </c>
      <c r="E339" s="10">
        <v>21327931</v>
      </c>
      <c r="F339" s="10">
        <v>0</v>
      </c>
      <c r="G339" s="10">
        <v>21327931</v>
      </c>
    </row>
    <row r="340" spans="1:7" ht="15" x14ac:dyDescent="0.25">
      <c r="A340" s="5"/>
      <c r="B340" s="6" t="s">
        <v>98</v>
      </c>
      <c r="C340" s="12">
        <v>15608361009</v>
      </c>
      <c r="D340" s="13">
        <v>0.28273999999999999</v>
      </c>
      <c r="E340" s="12">
        <v>4413127</v>
      </c>
      <c r="F340" s="12">
        <v>0</v>
      </c>
      <c r="G340" s="12">
        <v>4413127</v>
      </c>
    </row>
    <row r="341" spans="1:7" ht="15" x14ac:dyDescent="0.25">
      <c r="A341" s="5"/>
      <c r="B341" s="9" t="s">
        <v>503</v>
      </c>
      <c r="C341" s="10">
        <v>4460047692</v>
      </c>
      <c r="D341" s="11">
        <v>0.43720999999999999</v>
      </c>
      <c r="E341" s="10">
        <v>1949984</v>
      </c>
      <c r="F341" s="10">
        <v>0</v>
      </c>
      <c r="G341" s="10">
        <v>1949984</v>
      </c>
    </row>
    <row r="342" spans="1:7" ht="15" x14ac:dyDescent="0.25">
      <c r="A342" s="5"/>
      <c r="B342" s="6" t="s">
        <v>99</v>
      </c>
      <c r="C342" s="12">
        <v>12988969514</v>
      </c>
      <c r="D342" s="13">
        <v>1.4732700000000001</v>
      </c>
      <c r="E342" s="12">
        <v>19136241</v>
      </c>
      <c r="F342" s="12">
        <v>1803208</v>
      </c>
      <c r="G342" s="12">
        <v>20939449</v>
      </c>
    </row>
    <row r="343" spans="1:7" ht="15" x14ac:dyDescent="0.25">
      <c r="A343" s="5"/>
      <c r="B343" s="9" t="s">
        <v>100</v>
      </c>
      <c r="C343" s="10">
        <v>14501514911</v>
      </c>
      <c r="D343" s="11">
        <v>0.76266</v>
      </c>
      <c r="E343" s="10">
        <v>11059774</v>
      </c>
      <c r="F343" s="10">
        <v>1256226</v>
      </c>
      <c r="G343" s="10">
        <v>12316000</v>
      </c>
    </row>
    <row r="344" spans="1:7" ht="15" x14ac:dyDescent="0.25">
      <c r="A344" s="5"/>
      <c r="B344" s="6" t="s">
        <v>101</v>
      </c>
      <c r="C344" s="12">
        <v>12618966032</v>
      </c>
      <c r="D344" s="13">
        <v>0.99643000000000004</v>
      </c>
      <c r="E344" s="12">
        <v>7847726</v>
      </c>
      <c r="F344" s="12">
        <v>519663</v>
      </c>
      <c r="G344" s="12">
        <v>8367389</v>
      </c>
    </row>
    <row r="345" spans="1:7" ht="15" x14ac:dyDescent="0.25">
      <c r="A345" s="5"/>
      <c r="B345" s="9" t="s">
        <v>102</v>
      </c>
      <c r="C345" s="10">
        <v>5662760365</v>
      </c>
      <c r="D345" s="11">
        <v>0.98912</v>
      </c>
      <c r="E345" s="10">
        <v>3378060</v>
      </c>
      <c r="F345" s="10">
        <v>23972</v>
      </c>
      <c r="G345" s="10">
        <v>3402032</v>
      </c>
    </row>
    <row r="346" spans="1:7" ht="15" x14ac:dyDescent="0.25">
      <c r="A346" s="5"/>
      <c r="B346" s="6" t="s">
        <v>103</v>
      </c>
      <c r="C346" s="12">
        <v>4460047692</v>
      </c>
      <c r="D346" s="13">
        <v>1.5</v>
      </c>
      <c r="E346" s="12">
        <v>6690052</v>
      </c>
      <c r="F346" s="12">
        <v>0</v>
      </c>
      <c r="G346" s="12">
        <v>6690052</v>
      </c>
    </row>
    <row r="347" spans="1:7" ht="15" x14ac:dyDescent="0.25">
      <c r="A347" s="5"/>
      <c r="B347" s="9" t="s">
        <v>104</v>
      </c>
      <c r="C347" s="10">
        <v>11875524436</v>
      </c>
      <c r="D347" s="11">
        <v>0.52419000000000004</v>
      </c>
      <c r="E347" s="10">
        <v>5914216</v>
      </c>
      <c r="F347" s="10">
        <v>1499403</v>
      </c>
      <c r="G347" s="10">
        <v>7413619</v>
      </c>
    </row>
    <row r="348" spans="1:7" ht="15" x14ac:dyDescent="0.25">
      <c r="A348" s="5"/>
      <c r="B348" s="6" t="s">
        <v>105</v>
      </c>
      <c r="C348" s="12">
        <v>2983818919</v>
      </c>
      <c r="D348" s="13">
        <v>1.5</v>
      </c>
      <c r="E348" s="12">
        <v>4475713</v>
      </c>
      <c r="F348" s="12">
        <v>0</v>
      </c>
      <c r="G348" s="12">
        <v>4475713</v>
      </c>
    </row>
    <row r="349" spans="1:7" ht="15" x14ac:dyDescent="0.25">
      <c r="A349" s="5"/>
      <c r="B349" s="9" t="s">
        <v>106</v>
      </c>
      <c r="C349" s="10">
        <v>499105430</v>
      </c>
      <c r="D349" s="11">
        <v>1.0866</v>
      </c>
      <c r="E349" s="10">
        <v>542328</v>
      </c>
      <c r="F349" s="10">
        <v>91569</v>
      </c>
      <c r="G349" s="10">
        <v>633897</v>
      </c>
    </row>
    <row r="350" spans="1:7" ht="15" x14ac:dyDescent="0.25">
      <c r="A350" s="5"/>
      <c r="B350" s="6" t="s">
        <v>107</v>
      </c>
      <c r="C350" s="12">
        <v>1938004444</v>
      </c>
      <c r="D350" s="13">
        <v>1.5</v>
      </c>
      <c r="E350" s="12">
        <v>2907001</v>
      </c>
      <c r="F350" s="12">
        <v>0</v>
      </c>
      <c r="G350" s="12">
        <v>2907001</v>
      </c>
    </row>
    <row r="351" spans="1:7" ht="15" x14ac:dyDescent="0.25">
      <c r="A351" s="5"/>
      <c r="B351" s="9" t="s">
        <v>108</v>
      </c>
      <c r="C351" s="10">
        <v>4297466774</v>
      </c>
      <c r="D351" s="11">
        <v>1.5</v>
      </c>
      <c r="E351" s="10">
        <v>6446208</v>
      </c>
      <c r="F351" s="10">
        <v>0</v>
      </c>
      <c r="G351" s="10">
        <v>6446208</v>
      </c>
    </row>
    <row r="352" spans="1:7" ht="15" x14ac:dyDescent="0.25">
      <c r="A352" s="5"/>
      <c r="B352" s="6" t="s">
        <v>109</v>
      </c>
      <c r="C352" s="12">
        <v>19574279</v>
      </c>
      <c r="D352" s="13">
        <v>1.4791799999999999</v>
      </c>
      <c r="E352" s="12">
        <v>28954</v>
      </c>
      <c r="F352" s="12">
        <v>0</v>
      </c>
      <c r="G352" s="12">
        <v>28954</v>
      </c>
    </row>
    <row r="353" spans="1:7" ht="15" x14ac:dyDescent="0.25">
      <c r="A353" s="5"/>
      <c r="B353" s="9" t="s">
        <v>110</v>
      </c>
      <c r="C353" s="10">
        <v>10544261593</v>
      </c>
      <c r="D353" s="11">
        <v>1.0053099999999999</v>
      </c>
      <c r="E353" s="10">
        <v>10600278</v>
      </c>
      <c r="F353" s="10">
        <v>0</v>
      </c>
      <c r="G353" s="10">
        <v>10600278</v>
      </c>
    </row>
    <row r="354" spans="1:7" ht="15" x14ac:dyDescent="0.25">
      <c r="A354" s="5"/>
      <c r="B354" s="6" t="s">
        <v>111</v>
      </c>
      <c r="C354" s="12">
        <v>15857431447</v>
      </c>
      <c r="D354" s="13">
        <v>0.59370000000000001</v>
      </c>
      <c r="E354" s="12">
        <v>9414520</v>
      </c>
      <c r="F354" s="12">
        <v>0</v>
      </c>
      <c r="G354" s="12">
        <v>9414520</v>
      </c>
    </row>
    <row r="355" spans="1:7" ht="15" x14ac:dyDescent="0.25">
      <c r="A355" s="5"/>
      <c r="B355" s="9" t="s">
        <v>112</v>
      </c>
      <c r="C355" s="10">
        <v>3145445716</v>
      </c>
      <c r="D355" s="11">
        <v>0.69728999999999997</v>
      </c>
      <c r="E355" s="10">
        <v>2193286</v>
      </c>
      <c r="F355" s="10">
        <v>217441</v>
      </c>
      <c r="G355" s="10">
        <v>2410727</v>
      </c>
    </row>
    <row r="356" spans="1:7" ht="15" x14ac:dyDescent="0.25">
      <c r="A356" s="5"/>
      <c r="B356" s="6" t="s">
        <v>113</v>
      </c>
      <c r="C356" s="12">
        <v>27495594247</v>
      </c>
      <c r="D356" s="13">
        <v>1.5</v>
      </c>
      <c r="E356" s="12">
        <v>41243374</v>
      </c>
      <c r="F356" s="12">
        <v>6436360</v>
      </c>
      <c r="G356" s="12">
        <v>47679734</v>
      </c>
    </row>
    <row r="357" spans="1:7" ht="15" x14ac:dyDescent="0.25">
      <c r="A357" s="5"/>
      <c r="B357" s="9" t="s">
        <v>114</v>
      </c>
      <c r="C357" s="10">
        <v>4680450216</v>
      </c>
      <c r="D357" s="11">
        <v>1</v>
      </c>
      <c r="E357" s="10">
        <v>4680449</v>
      </c>
      <c r="F357" s="10">
        <v>0</v>
      </c>
      <c r="G357" s="10">
        <v>4680449</v>
      </c>
    </row>
    <row r="358" spans="1:7" ht="15" x14ac:dyDescent="0.25">
      <c r="A358" s="5"/>
      <c r="B358" s="6" t="s">
        <v>115</v>
      </c>
      <c r="C358" s="12">
        <v>10817979200</v>
      </c>
      <c r="D358" s="13">
        <v>1.5</v>
      </c>
      <c r="E358" s="12">
        <v>16226977</v>
      </c>
      <c r="F358" s="12">
        <v>0</v>
      </c>
      <c r="G358" s="12">
        <v>16226977</v>
      </c>
    </row>
    <row r="359" spans="1:7" ht="15" x14ac:dyDescent="0.25">
      <c r="A359" s="5"/>
      <c r="B359" s="9" t="s">
        <v>116</v>
      </c>
      <c r="C359" s="10">
        <v>4488175491</v>
      </c>
      <c r="D359" s="11">
        <v>1.5</v>
      </c>
      <c r="E359" s="10">
        <v>6732257</v>
      </c>
      <c r="F359" s="10">
        <v>1567303</v>
      </c>
      <c r="G359" s="10">
        <v>8299560</v>
      </c>
    </row>
    <row r="360" spans="1:7" ht="15" x14ac:dyDescent="0.25">
      <c r="A360" s="5"/>
      <c r="B360" s="6" t="s">
        <v>117</v>
      </c>
      <c r="C360" s="12">
        <v>4305901257</v>
      </c>
      <c r="D360" s="13">
        <v>0.84379000000000004</v>
      </c>
      <c r="E360" s="12">
        <v>3633282</v>
      </c>
      <c r="F360" s="12">
        <v>399427</v>
      </c>
      <c r="G360" s="12">
        <v>4032709</v>
      </c>
    </row>
    <row r="361" spans="1:7" ht="15" x14ac:dyDescent="0.25">
      <c r="A361" s="5"/>
      <c r="B361" s="9" t="s">
        <v>350</v>
      </c>
      <c r="C361" s="10">
        <v>567179760</v>
      </c>
      <c r="D361" s="11">
        <v>0.63405</v>
      </c>
      <c r="E361" s="10">
        <v>359620</v>
      </c>
      <c r="F361" s="10">
        <v>0</v>
      </c>
      <c r="G361" s="10">
        <v>359620</v>
      </c>
    </row>
    <row r="362" spans="1:7" ht="15" x14ac:dyDescent="0.25">
      <c r="A362" s="5"/>
      <c r="B362" s="6" t="s">
        <v>467</v>
      </c>
      <c r="C362" s="12">
        <v>155327751</v>
      </c>
      <c r="D362" s="13">
        <v>1</v>
      </c>
      <c r="E362" s="12">
        <v>155328</v>
      </c>
      <c r="F362" s="12">
        <v>11618</v>
      </c>
      <c r="G362" s="12">
        <v>166946</v>
      </c>
    </row>
    <row r="363" spans="1:7" ht="15" x14ac:dyDescent="0.25">
      <c r="A363" s="5"/>
      <c r="B363" s="9" t="s">
        <v>118</v>
      </c>
      <c r="C363" s="10">
        <v>298571498</v>
      </c>
      <c r="D363" s="11">
        <v>0.90959000000000001</v>
      </c>
      <c r="E363" s="10">
        <v>271577</v>
      </c>
      <c r="F363" s="10">
        <v>46827</v>
      </c>
      <c r="G363" s="10">
        <v>318404</v>
      </c>
    </row>
    <row r="364" spans="1:7" ht="15" x14ac:dyDescent="0.25">
      <c r="A364" s="5"/>
      <c r="B364" s="6" t="s">
        <v>119</v>
      </c>
      <c r="C364" s="12">
        <v>5846610221</v>
      </c>
      <c r="D364" s="13">
        <v>0.40700999999999998</v>
      </c>
      <c r="E364" s="12">
        <v>2377887</v>
      </c>
      <c r="F364" s="12">
        <v>1099862</v>
      </c>
      <c r="G364" s="12">
        <v>3477749</v>
      </c>
    </row>
    <row r="365" spans="1:7" ht="15" x14ac:dyDescent="0.25">
      <c r="A365" s="5"/>
      <c r="B365" s="9" t="s">
        <v>120</v>
      </c>
      <c r="C365" s="10">
        <v>2530745831</v>
      </c>
      <c r="D365" s="11">
        <v>0.25883</v>
      </c>
      <c r="E365" s="10">
        <v>655027</v>
      </c>
      <c r="F365" s="10">
        <v>0</v>
      </c>
      <c r="G365" s="10">
        <v>655027</v>
      </c>
    </row>
    <row r="366" spans="1:7" ht="15" x14ac:dyDescent="0.25">
      <c r="A366" s="5"/>
      <c r="B366" s="6" t="s">
        <v>426</v>
      </c>
      <c r="C366" s="12">
        <v>2277046264</v>
      </c>
      <c r="D366" s="13">
        <v>5.6000000000000001E-2</v>
      </c>
      <c r="E366" s="12">
        <v>127520</v>
      </c>
      <c r="F366" s="12">
        <v>0</v>
      </c>
      <c r="G366" s="12">
        <v>127520</v>
      </c>
    </row>
    <row r="367" spans="1:7" ht="15" x14ac:dyDescent="0.25">
      <c r="A367" s="5"/>
      <c r="B367" s="9" t="s">
        <v>121</v>
      </c>
      <c r="C367" s="10">
        <v>6248284100</v>
      </c>
      <c r="D367" s="11">
        <v>0.19900000000000001</v>
      </c>
      <c r="E367" s="10">
        <v>1243412</v>
      </c>
      <c r="F367" s="10">
        <v>0</v>
      </c>
      <c r="G367" s="10">
        <v>1243412</v>
      </c>
    </row>
    <row r="368" spans="1:7" ht="15" x14ac:dyDescent="0.25">
      <c r="A368" s="5"/>
      <c r="B368" s="6" t="s">
        <v>122</v>
      </c>
      <c r="C368" s="12">
        <v>9496535922</v>
      </c>
      <c r="D368" s="13">
        <v>0.15248</v>
      </c>
      <c r="E368" s="12">
        <v>1448003</v>
      </c>
      <c r="F368" s="12">
        <v>0</v>
      </c>
      <c r="G368" s="12">
        <v>1448003</v>
      </c>
    </row>
    <row r="369" spans="1:7" ht="15" x14ac:dyDescent="0.25">
      <c r="A369" s="5"/>
      <c r="B369" s="9" t="s">
        <v>351</v>
      </c>
      <c r="C369" s="10">
        <v>299443737414</v>
      </c>
      <c r="D369" s="11">
        <v>0.40988000000000002</v>
      </c>
      <c r="E369" s="10">
        <v>122735852</v>
      </c>
      <c r="F369" s="10">
        <v>0</v>
      </c>
      <c r="G369" s="10">
        <v>122735852</v>
      </c>
    </row>
    <row r="370" spans="1:7" ht="15" x14ac:dyDescent="0.25">
      <c r="A370" s="5"/>
      <c r="B370" s="6" t="s">
        <v>72</v>
      </c>
      <c r="C370" s="12">
        <v>827630972677</v>
      </c>
      <c r="D370" s="13">
        <v>0.1047</v>
      </c>
      <c r="E370" s="12">
        <v>86651143</v>
      </c>
      <c r="F370" s="12">
        <v>0</v>
      </c>
      <c r="G370" s="12">
        <v>86651143</v>
      </c>
    </row>
    <row r="371" spans="1:7" ht="15" x14ac:dyDescent="0.25">
      <c r="A371" s="5"/>
      <c r="B371" s="9" t="s">
        <v>532</v>
      </c>
      <c r="C371" s="10">
        <v>827131867247</v>
      </c>
      <c r="D371" s="11">
        <v>0.22678000000000001</v>
      </c>
      <c r="E371" s="10">
        <v>187577189</v>
      </c>
      <c r="F371" s="10">
        <v>0</v>
      </c>
      <c r="G371" s="10">
        <v>187577189</v>
      </c>
    </row>
    <row r="372" spans="1:7" ht="15" x14ac:dyDescent="0.25">
      <c r="A372" s="5"/>
      <c r="B372" s="6" t="s">
        <v>106</v>
      </c>
      <c r="C372" s="12">
        <v>499105430</v>
      </c>
      <c r="D372" s="13">
        <v>0.36423</v>
      </c>
      <c r="E372" s="12">
        <v>181790</v>
      </c>
      <c r="F372" s="12">
        <v>0</v>
      </c>
      <c r="G372" s="12">
        <v>181790</v>
      </c>
    </row>
    <row r="373" spans="1:7" ht="15" x14ac:dyDescent="0.25">
      <c r="A373" s="5"/>
      <c r="B373" s="9" t="s">
        <v>435</v>
      </c>
      <c r="C373" s="10">
        <v>4460047692</v>
      </c>
      <c r="D373" s="11">
        <v>0.43198999999999999</v>
      </c>
      <c r="E373" s="10">
        <v>1926698</v>
      </c>
      <c r="F373" s="10">
        <v>0</v>
      </c>
      <c r="G373" s="10">
        <v>1926698</v>
      </c>
    </row>
    <row r="374" spans="1:7" ht="15" x14ac:dyDescent="0.25">
      <c r="A374" s="5"/>
      <c r="B374" s="6" t="s">
        <v>504</v>
      </c>
      <c r="C374" s="12">
        <v>30786136172</v>
      </c>
      <c r="D374" s="13">
        <v>2.9899999999999999E-2</v>
      </c>
      <c r="E374" s="12">
        <v>920527</v>
      </c>
      <c r="F374" s="12">
        <v>0</v>
      </c>
      <c r="G374" s="12">
        <v>920527</v>
      </c>
    </row>
    <row r="375" spans="1:7" ht="15" x14ac:dyDescent="0.25">
      <c r="A375" s="5"/>
      <c r="B375" s="9" t="s">
        <v>123</v>
      </c>
      <c r="C375" s="10">
        <v>4460047692</v>
      </c>
      <c r="D375" s="11">
        <v>2.8029999999999999E-2</v>
      </c>
      <c r="E375" s="10">
        <v>125031</v>
      </c>
      <c r="F375" s="10">
        <v>0</v>
      </c>
      <c r="G375" s="10">
        <v>125031</v>
      </c>
    </row>
    <row r="376" spans="1:7" ht="15" x14ac:dyDescent="0.25">
      <c r="A376" s="5"/>
      <c r="B376" s="6" t="s">
        <v>533</v>
      </c>
      <c r="C376" s="12">
        <v>827630972677</v>
      </c>
      <c r="D376" s="13">
        <v>7.0669999999999997E-2</v>
      </c>
      <c r="E376" s="12">
        <v>58489902</v>
      </c>
      <c r="F376" s="12">
        <v>0</v>
      </c>
      <c r="G376" s="12">
        <v>58489902</v>
      </c>
    </row>
    <row r="377" spans="1:7" ht="15" x14ac:dyDescent="0.25">
      <c r="A377" s="5"/>
      <c r="B377" s="9" t="s">
        <v>553</v>
      </c>
      <c r="C377" s="10">
        <v>827630972675</v>
      </c>
      <c r="D377" s="11">
        <v>8.4499999999999992E-3</v>
      </c>
      <c r="E377" s="10">
        <v>6994232</v>
      </c>
      <c r="F377" s="10">
        <v>0</v>
      </c>
      <c r="G377" s="10">
        <v>6994232</v>
      </c>
    </row>
    <row r="378" spans="1:7" ht="15" x14ac:dyDescent="0.25">
      <c r="A378" s="5"/>
      <c r="B378" s="6" t="s">
        <v>124</v>
      </c>
      <c r="C378" s="12">
        <v>827630972675</v>
      </c>
      <c r="D378" s="13">
        <v>4.0349999999999997E-2</v>
      </c>
      <c r="E378" s="12">
        <v>33394682</v>
      </c>
      <c r="F378" s="12">
        <v>0</v>
      </c>
      <c r="G378" s="12">
        <v>33394682</v>
      </c>
    </row>
    <row r="379" spans="1:7" ht="15" x14ac:dyDescent="0.25">
      <c r="A379" s="5"/>
      <c r="B379" s="9" t="s">
        <v>352</v>
      </c>
      <c r="C379" s="10">
        <v>17912192414</v>
      </c>
      <c r="D379" s="11">
        <v>0.7863</v>
      </c>
      <c r="E379" s="10">
        <v>14084381</v>
      </c>
      <c r="F379" s="10">
        <v>1377651</v>
      </c>
      <c r="G379" s="10">
        <v>15462032</v>
      </c>
    </row>
    <row r="380" spans="1:7" ht="15" x14ac:dyDescent="0.25">
      <c r="A380" s="5"/>
      <c r="B380" s="6" t="s">
        <v>353</v>
      </c>
      <c r="C380" s="12">
        <v>38411402140</v>
      </c>
      <c r="D380" s="13">
        <v>0.90776999999999997</v>
      </c>
      <c r="E380" s="12">
        <v>34868817</v>
      </c>
      <c r="F380" s="12">
        <v>0</v>
      </c>
      <c r="G380" s="12">
        <v>34868817</v>
      </c>
    </row>
    <row r="381" spans="1:7" ht="15" x14ac:dyDescent="0.25">
      <c r="A381" s="5"/>
      <c r="B381" s="9" t="s">
        <v>427</v>
      </c>
      <c r="C381" s="10">
        <v>29090146892</v>
      </c>
      <c r="D381" s="11">
        <v>1</v>
      </c>
      <c r="E381" s="10">
        <v>29090268</v>
      </c>
      <c r="F381" s="10">
        <v>0</v>
      </c>
      <c r="G381" s="10">
        <v>29090268</v>
      </c>
    </row>
    <row r="382" spans="1:7" ht="15" x14ac:dyDescent="0.25">
      <c r="A382" s="5"/>
      <c r="B382" s="6" t="s">
        <v>428</v>
      </c>
      <c r="C382" s="12">
        <v>748651771646</v>
      </c>
      <c r="D382" s="13">
        <v>0.16483</v>
      </c>
      <c r="E382" s="12">
        <v>123400619</v>
      </c>
      <c r="F382" s="12">
        <v>0</v>
      </c>
      <c r="G382" s="12">
        <v>123400619</v>
      </c>
    </row>
    <row r="383" spans="1:7" ht="15" x14ac:dyDescent="0.25">
      <c r="A383" s="5"/>
      <c r="B383" s="2" t="s">
        <v>538</v>
      </c>
      <c r="C383" s="14"/>
      <c r="D383" s="15"/>
      <c r="E383" s="14"/>
      <c r="F383" s="14"/>
      <c r="G383" s="16">
        <f>SUM(G336:G382)</f>
        <v>1092160587</v>
      </c>
    </row>
    <row r="384" spans="1:7" ht="13.5" x14ac:dyDescent="0.25">
      <c r="A384" s="5"/>
      <c r="B384" s="5"/>
      <c r="C384" s="17"/>
      <c r="D384" s="18"/>
      <c r="E384" s="17"/>
      <c r="F384" s="17"/>
      <c r="G384" s="19"/>
    </row>
    <row r="385" spans="1:7" ht="15" x14ac:dyDescent="0.25">
      <c r="A385" s="2" t="s">
        <v>125</v>
      </c>
      <c r="B385" s="3"/>
      <c r="C385" s="3"/>
      <c r="D385" s="3"/>
      <c r="E385" s="3"/>
      <c r="F385" s="3"/>
      <c r="G385" s="4"/>
    </row>
    <row r="386" spans="1:7" ht="15" x14ac:dyDescent="0.25">
      <c r="A386" s="5"/>
      <c r="B386" s="6" t="s">
        <v>126</v>
      </c>
      <c r="C386" s="12">
        <v>63114207086</v>
      </c>
      <c r="D386" s="13">
        <v>0.27223999999999998</v>
      </c>
      <c r="E386" s="12">
        <v>17182338</v>
      </c>
      <c r="F386" s="12">
        <v>0</v>
      </c>
      <c r="G386" s="12">
        <v>17182338</v>
      </c>
    </row>
    <row r="387" spans="1:7" ht="15" x14ac:dyDescent="0.25">
      <c r="A387" s="5"/>
      <c r="B387" s="9" t="s">
        <v>516</v>
      </c>
      <c r="C387" s="10">
        <v>15353685982</v>
      </c>
      <c r="D387" s="11">
        <v>1.3419300000000001</v>
      </c>
      <c r="E387" s="10">
        <v>20603603</v>
      </c>
      <c r="F387" s="10">
        <v>3502550</v>
      </c>
      <c r="G387" s="10">
        <v>24106153</v>
      </c>
    </row>
    <row r="388" spans="1:7" ht="15" x14ac:dyDescent="0.25">
      <c r="A388" s="5"/>
      <c r="B388" s="6" t="s">
        <v>468</v>
      </c>
      <c r="C388" s="12">
        <v>13460238119</v>
      </c>
      <c r="D388" s="13">
        <v>0.56618999999999997</v>
      </c>
      <c r="E388" s="12">
        <v>7621066</v>
      </c>
      <c r="F388" s="12">
        <v>1105593</v>
      </c>
      <c r="G388" s="12">
        <v>8726659</v>
      </c>
    </row>
    <row r="389" spans="1:7" ht="15" x14ac:dyDescent="0.25">
      <c r="A389" s="5"/>
      <c r="B389" s="9" t="s">
        <v>354</v>
      </c>
      <c r="C389" s="10">
        <v>15171467881</v>
      </c>
      <c r="D389" s="11">
        <v>1.5</v>
      </c>
      <c r="E389" s="10">
        <v>22757202</v>
      </c>
      <c r="F389" s="10">
        <v>0</v>
      </c>
      <c r="G389" s="10">
        <v>22757202</v>
      </c>
    </row>
    <row r="390" spans="1:7" ht="15" x14ac:dyDescent="0.25">
      <c r="A390" s="5"/>
      <c r="B390" s="6" t="s">
        <v>355</v>
      </c>
      <c r="C390" s="12">
        <v>5655544219</v>
      </c>
      <c r="D390" s="13">
        <v>1.5</v>
      </c>
      <c r="E390" s="12">
        <v>8483311</v>
      </c>
      <c r="F390" s="12">
        <v>0</v>
      </c>
      <c r="G390" s="12">
        <v>8483311</v>
      </c>
    </row>
    <row r="391" spans="1:7" ht="15" x14ac:dyDescent="0.25">
      <c r="A391" s="5"/>
      <c r="B391" s="9" t="s">
        <v>469</v>
      </c>
      <c r="C391" s="10">
        <v>7080568013</v>
      </c>
      <c r="D391" s="11">
        <v>1.5</v>
      </c>
      <c r="E391" s="10">
        <v>10620845</v>
      </c>
      <c r="F391" s="10">
        <v>0</v>
      </c>
      <c r="G391" s="10">
        <v>10620845</v>
      </c>
    </row>
    <row r="392" spans="1:7" ht="15" x14ac:dyDescent="0.25">
      <c r="A392" s="5"/>
      <c r="B392" s="6" t="s">
        <v>127</v>
      </c>
      <c r="C392" s="12">
        <v>2534829253</v>
      </c>
      <c r="D392" s="13">
        <v>0.15431</v>
      </c>
      <c r="E392" s="12">
        <v>391160</v>
      </c>
      <c r="F392" s="12">
        <v>0</v>
      </c>
      <c r="G392" s="12">
        <v>391160</v>
      </c>
    </row>
    <row r="393" spans="1:7" ht="15" x14ac:dyDescent="0.25">
      <c r="A393" s="5"/>
      <c r="B393" s="9" t="s">
        <v>470</v>
      </c>
      <c r="C393" s="10">
        <v>13460238119</v>
      </c>
      <c r="D393" s="11">
        <v>0.66915999999999998</v>
      </c>
      <c r="E393" s="10">
        <v>9007053</v>
      </c>
      <c r="F393" s="10">
        <v>518882</v>
      </c>
      <c r="G393" s="10">
        <v>9525935</v>
      </c>
    </row>
    <row r="394" spans="1:7" ht="15" x14ac:dyDescent="0.25">
      <c r="A394" s="5"/>
      <c r="B394" s="6" t="s">
        <v>128</v>
      </c>
      <c r="C394" s="12">
        <v>21878413967</v>
      </c>
      <c r="D394" s="13">
        <v>0.19319</v>
      </c>
      <c r="E394" s="12">
        <v>4226669</v>
      </c>
      <c r="F394" s="12">
        <v>0</v>
      </c>
      <c r="G394" s="12">
        <v>4226669</v>
      </c>
    </row>
    <row r="395" spans="1:7" ht="15" x14ac:dyDescent="0.25">
      <c r="A395" s="5"/>
      <c r="B395" s="9" t="s">
        <v>129</v>
      </c>
      <c r="C395" s="10">
        <v>2836792397</v>
      </c>
      <c r="D395" s="11">
        <v>0.15806000000000001</v>
      </c>
      <c r="E395" s="10">
        <v>448383</v>
      </c>
      <c r="F395" s="10">
        <v>0</v>
      </c>
      <c r="G395" s="10">
        <v>448383</v>
      </c>
    </row>
    <row r="396" spans="1:7" ht="15" x14ac:dyDescent="0.25">
      <c r="A396" s="5"/>
      <c r="B396" s="6" t="s">
        <v>130</v>
      </c>
      <c r="C396" s="12">
        <v>958167324</v>
      </c>
      <c r="D396" s="13">
        <v>9.9419999999999994E-2</v>
      </c>
      <c r="E396" s="12">
        <v>95264</v>
      </c>
      <c r="F396" s="12">
        <v>0</v>
      </c>
      <c r="G396" s="12">
        <v>95264</v>
      </c>
    </row>
    <row r="397" spans="1:7" ht="15" x14ac:dyDescent="0.25">
      <c r="A397" s="5"/>
      <c r="B397" s="9" t="s">
        <v>131</v>
      </c>
      <c r="C397" s="10">
        <v>602093990</v>
      </c>
      <c r="D397" s="11">
        <v>0.11111</v>
      </c>
      <c r="E397" s="10">
        <v>66897</v>
      </c>
      <c r="F397" s="10">
        <v>0</v>
      </c>
      <c r="G397" s="10">
        <v>66897</v>
      </c>
    </row>
    <row r="398" spans="1:7" ht="15" x14ac:dyDescent="0.25">
      <c r="A398" s="5"/>
      <c r="B398" s="6" t="s">
        <v>132</v>
      </c>
      <c r="C398" s="12">
        <v>263406861</v>
      </c>
      <c r="D398" s="13">
        <v>0.13644999999999999</v>
      </c>
      <c r="E398" s="12">
        <v>35941</v>
      </c>
      <c r="F398" s="12">
        <v>0</v>
      </c>
      <c r="G398" s="12">
        <v>35941</v>
      </c>
    </row>
    <row r="399" spans="1:7" ht="15" x14ac:dyDescent="0.25">
      <c r="A399" s="5"/>
      <c r="B399" s="9" t="s">
        <v>133</v>
      </c>
      <c r="C399" s="10">
        <v>1953687890</v>
      </c>
      <c r="D399" s="11">
        <v>0.11923</v>
      </c>
      <c r="E399" s="10">
        <v>232936</v>
      </c>
      <c r="F399" s="10">
        <v>0</v>
      </c>
      <c r="G399" s="10">
        <v>232936</v>
      </c>
    </row>
    <row r="400" spans="1:7" ht="15" x14ac:dyDescent="0.25">
      <c r="A400" s="5"/>
      <c r="B400" s="6" t="s">
        <v>134</v>
      </c>
      <c r="C400" s="12">
        <v>1281802519</v>
      </c>
      <c r="D400" s="13">
        <v>9.9760000000000001E-2</v>
      </c>
      <c r="E400" s="12">
        <v>127870</v>
      </c>
      <c r="F400" s="12">
        <v>0</v>
      </c>
      <c r="G400" s="12">
        <v>127870</v>
      </c>
    </row>
    <row r="401" spans="1:7" ht="15" x14ac:dyDescent="0.25">
      <c r="A401" s="5"/>
      <c r="B401" s="9" t="s">
        <v>135</v>
      </c>
      <c r="C401" s="10">
        <v>1852538000</v>
      </c>
      <c r="D401" s="11">
        <v>0.17863000000000001</v>
      </c>
      <c r="E401" s="10">
        <v>330923</v>
      </c>
      <c r="F401" s="10">
        <v>0</v>
      </c>
      <c r="G401" s="10">
        <v>330923</v>
      </c>
    </row>
    <row r="402" spans="1:7" ht="15" x14ac:dyDescent="0.25">
      <c r="A402" s="5"/>
      <c r="B402" s="6" t="s">
        <v>136</v>
      </c>
      <c r="C402" s="12">
        <v>5507512762</v>
      </c>
      <c r="D402" s="13">
        <v>0.13930000000000001</v>
      </c>
      <c r="E402" s="12">
        <v>767213</v>
      </c>
      <c r="F402" s="12">
        <v>0</v>
      </c>
      <c r="G402" s="12">
        <v>767213</v>
      </c>
    </row>
    <row r="403" spans="1:7" ht="15" x14ac:dyDescent="0.25">
      <c r="A403" s="5"/>
      <c r="B403" s="9" t="s">
        <v>137</v>
      </c>
      <c r="C403" s="10">
        <v>525656881</v>
      </c>
      <c r="D403" s="11">
        <v>0.11337</v>
      </c>
      <c r="E403" s="10">
        <v>59593</v>
      </c>
      <c r="F403" s="10">
        <v>0</v>
      </c>
      <c r="G403" s="10">
        <v>59593</v>
      </c>
    </row>
    <row r="404" spans="1:7" ht="15" x14ac:dyDescent="0.25">
      <c r="A404" s="5"/>
      <c r="B404" s="6" t="s">
        <v>138</v>
      </c>
      <c r="C404" s="12">
        <v>427734024</v>
      </c>
      <c r="D404" s="13">
        <v>0.11724</v>
      </c>
      <c r="E404" s="12">
        <v>50149</v>
      </c>
      <c r="F404" s="12">
        <v>0</v>
      </c>
      <c r="G404" s="12">
        <v>50149</v>
      </c>
    </row>
    <row r="405" spans="1:7" ht="15" x14ac:dyDescent="0.25">
      <c r="A405" s="5"/>
      <c r="B405" s="9" t="s">
        <v>139</v>
      </c>
      <c r="C405" s="10">
        <v>1543747129</v>
      </c>
      <c r="D405" s="11">
        <v>2.5010000000000001E-2</v>
      </c>
      <c r="E405" s="10">
        <v>38612</v>
      </c>
      <c r="F405" s="10">
        <v>0</v>
      </c>
      <c r="G405" s="10">
        <v>38612</v>
      </c>
    </row>
    <row r="406" spans="1:7" ht="15" x14ac:dyDescent="0.25">
      <c r="A406" s="5"/>
      <c r="B406" s="6" t="s">
        <v>552</v>
      </c>
      <c r="C406" s="12">
        <v>63114207086</v>
      </c>
      <c r="D406" s="13">
        <v>4.4089999999999997E-2</v>
      </c>
      <c r="E406" s="12">
        <v>2782642</v>
      </c>
      <c r="F406" s="12">
        <v>0</v>
      </c>
      <c r="G406" s="12">
        <v>2782642</v>
      </c>
    </row>
    <row r="407" spans="1:7" ht="15" x14ac:dyDescent="0.25">
      <c r="A407" s="5"/>
      <c r="B407" s="9" t="s">
        <v>140</v>
      </c>
      <c r="C407" s="10">
        <v>6211981987</v>
      </c>
      <c r="D407" s="11">
        <v>0.37019999999999997</v>
      </c>
      <c r="E407" s="10">
        <v>2299694</v>
      </c>
      <c r="F407" s="10">
        <v>0</v>
      </c>
      <c r="G407" s="10">
        <v>2299694</v>
      </c>
    </row>
    <row r="408" spans="1:7" ht="15" x14ac:dyDescent="0.25">
      <c r="A408" s="5"/>
      <c r="B408" s="6" t="s">
        <v>517</v>
      </c>
      <c r="C408" s="12">
        <v>15391631892</v>
      </c>
      <c r="D408" s="13">
        <v>0.42415999999999998</v>
      </c>
      <c r="E408" s="12">
        <v>6528561</v>
      </c>
      <c r="F408" s="12">
        <v>0</v>
      </c>
      <c r="G408" s="12">
        <v>6528561</v>
      </c>
    </row>
    <row r="409" spans="1:7" ht="15" x14ac:dyDescent="0.25">
      <c r="A409" s="5"/>
      <c r="B409" s="9" t="s">
        <v>141</v>
      </c>
      <c r="C409" s="10">
        <v>13460238119</v>
      </c>
      <c r="D409" s="11">
        <v>0.29577999999999999</v>
      </c>
      <c r="E409" s="10">
        <v>3981296</v>
      </c>
      <c r="F409" s="10">
        <v>0</v>
      </c>
      <c r="G409" s="10">
        <v>3981296</v>
      </c>
    </row>
    <row r="410" spans="1:7" ht="15" x14ac:dyDescent="0.25">
      <c r="A410" s="5"/>
      <c r="B410" s="6" t="s">
        <v>436</v>
      </c>
      <c r="C410" s="12">
        <v>108175722</v>
      </c>
      <c r="D410" s="13">
        <v>0.28616999999999998</v>
      </c>
      <c r="E410" s="12">
        <v>30957</v>
      </c>
      <c r="F410" s="12">
        <v>0</v>
      </c>
      <c r="G410" s="12">
        <v>30957</v>
      </c>
    </row>
    <row r="411" spans="1:7" ht="15" x14ac:dyDescent="0.25">
      <c r="A411" s="5"/>
      <c r="B411" s="9" t="s">
        <v>142</v>
      </c>
      <c r="C411" s="10">
        <v>15185346051</v>
      </c>
      <c r="D411" s="11">
        <v>0.42373</v>
      </c>
      <c r="E411" s="10">
        <v>6434411</v>
      </c>
      <c r="F411" s="10">
        <v>0</v>
      </c>
      <c r="G411" s="10">
        <v>6434411</v>
      </c>
    </row>
    <row r="412" spans="1:7" ht="15" x14ac:dyDescent="0.25">
      <c r="A412" s="5"/>
      <c r="B412" s="6" t="s">
        <v>471</v>
      </c>
      <c r="C412" s="12">
        <v>5655768319</v>
      </c>
      <c r="D412" s="13">
        <v>0.37396000000000001</v>
      </c>
      <c r="E412" s="12">
        <v>2115042</v>
      </c>
      <c r="F412" s="12">
        <v>0</v>
      </c>
      <c r="G412" s="12">
        <v>2115042</v>
      </c>
    </row>
    <row r="413" spans="1:7" ht="15" x14ac:dyDescent="0.25">
      <c r="A413" s="5"/>
      <c r="B413" s="9" t="s">
        <v>472</v>
      </c>
      <c r="C413" s="10">
        <v>7084091003</v>
      </c>
      <c r="D413" s="11">
        <v>0.37956000000000001</v>
      </c>
      <c r="E413" s="10">
        <v>2688859</v>
      </c>
      <c r="F413" s="10">
        <v>0</v>
      </c>
      <c r="G413" s="10">
        <v>2688859</v>
      </c>
    </row>
    <row r="414" spans="1:7" ht="15" x14ac:dyDescent="0.25">
      <c r="A414" s="5"/>
      <c r="B414" s="6" t="s">
        <v>356</v>
      </c>
      <c r="C414" s="12">
        <v>107986122</v>
      </c>
      <c r="D414" s="13">
        <v>0.81271000000000004</v>
      </c>
      <c r="E414" s="12">
        <v>87761</v>
      </c>
      <c r="F414" s="12">
        <v>19214</v>
      </c>
      <c r="G414" s="12">
        <v>106975</v>
      </c>
    </row>
    <row r="415" spans="1:7" ht="15" x14ac:dyDescent="0.25">
      <c r="A415" s="5"/>
      <c r="B415" s="2" t="s">
        <v>538</v>
      </c>
      <c r="C415" s="14"/>
      <c r="D415" s="15"/>
      <c r="E415" s="14"/>
      <c r="F415" s="14"/>
      <c r="G415" s="16">
        <f>SUM(G386:G414)</f>
        <v>135242490</v>
      </c>
    </row>
    <row r="416" spans="1:7" ht="13.5" x14ac:dyDescent="0.25">
      <c r="A416" s="5"/>
      <c r="B416" s="5"/>
      <c r="C416" s="17"/>
      <c r="D416" s="18"/>
      <c r="E416" s="17"/>
      <c r="F416" s="17"/>
      <c r="G416" s="19"/>
    </row>
    <row r="417" spans="1:7" ht="15" x14ac:dyDescent="0.25">
      <c r="A417" s="2" t="s">
        <v>143</v>
      </c>
      <c r="B417" s="3"/>
      <c r="C417" s="3"/>
      <c r="D417" s="3"/>
      <c r="E417" s="3"/>
      <c r="F417" s="3"/>
      <c r="G417" s="4"/>
    </row>
    <row r="418" spans="1:7" ht="15" x14ac:dyDescent="0.25">
      <c r="A418" s="5"/>
      <c r="B418" s="6" t="s">
        <v>57</v>
      </c>
      <c r="C418" s="12">
        <v>7509889011</v>
      </c>
      <c r="D418" s="13">
        <v>1.41E-3</v>
      </c>
      <c r="E418" s="12">
        <v>10566</v>
      </c>
      <c r="F418" s="12">
        <v>0</v>
      </c>
      <c r="G418" s="12">
        <v>10566</v>
      </c>
    </row>
    <row r="419" spans="1:7" ht="15" x14ac:dyDescent="0.25">
      <c r="A419" s="5"/>
      <c r="B419" s="9" t="s">
        <v>64</v>
      </c>
      <c r="C419" s="10">
        <v>7892718795</v>
      </c>
      <c r="D419" s="11">
        <v>0.12479999999999999</v>
      </c>
      <c r="E419" s="10">
        <v>985027</v>
      </c>
      <c r="F419" s="10">
        <v>0</v>
      </c>
      <c r="G419" s="10">
        <v>985027</v>
      </c>
    </row>
    <row r="420" spans="1:7" ht="15" x14ac:dyDescent="0.25">
      <c r="A420" s="5"/>
      <c r="B420" s="6" t="s">
        <v>357</v>
      </c>
      <c r="C420" s="12">
        <v>435664955</v>
      </c>
      <c r="D420" s="13">
        <v>1.0360100000000001</v>
      </c>
      <c r="E420" s="12">
        <v>451351</v>
      </c>
      <c r="F420" s="12">
        <v>0</v>
      </c>
      <c r="G420" s="12">
        <v>451351</v>
      </c>
    </row>
    <row r="421" spans="1:7" ht="15" x14ac:dyDescent="0.25">
      <c r="A421" s="5"/>
      <c r="B421" s="9" t="s">
        <v>358</v>
      </c>
      <c r="C421" s="10">
        <v>5842415426</v>
      </c>
      <c r="D421" s="11">
        <v>1.3794</v>
      </c>
      <c r="E421" s="10">
        <v>8059045</v>
      </c>
      <c r="F421" s="10">
        <v>474994</v>
      </c>
      <c r="G421" s="10">
        <v>8534039</v>
      </c>
    </row>
    <row r="422" spans="1:7" ht="15" x14ac:dyDescent="0.25">
      <c r="A422" s="5"/>
      <c r="B422" s="6" t="s">
        <v>359</v>
      </c>
      <c r="C422" s="12">
        <v>270470845</v>
      </c>
      <c r="D422" s="13">
        <v>0.66813999999999996</v>
      </c>
      <c r="E422" s="12">
        <v>180712</v>
      </c>
      <c r="F422" s="12">
        <v>0</v>
      </c>
      <c r="G422" s="12">
        <v>180712</v>
      </c>
    </row>
    <row r="423" spans="1:7" ht="15" x14ac:dyDescent="0.25">
      <c r="A423" s="5"/>
      <c r="B423" s="9" t="s">
        <v>360</v>
      </c>
      <c r="C423" s="10">
        <v>72655937</v>
      </c>
      <c r="D423" s="11">
        <v>0.55298000000000003</v>
      </c>
      <c r="E423" s="10">
        <v>40177</v>
      </c>
      <c r="F423" s="10">
        <v>0</v>
      </c>
      <c r="G423" s="10">
        <v>40177</v>
      </c>
    </row>
    <row r="424" spans="1:7" ht="15" x14ac:dyDescent="0.25">
      <c r="A424" s="5"/>
      <c r="B424" s="6" t="s">
        <v>361</v>
      </c>
      <c r="C424" s="12">
        <v>935268751</v>
      </c>
      <c r="D424" s="13">
        <v>1</v>
      </c>
      <c r="E424" s="12">
        <v>935269</v>
      </c>
      <c r="F424" s="12">
        <v>52415</v>
      </c>
      <c r="G424" s="12">
        <v>987684</v>
      </c>
    </row>
    <row r="425" spans="1:7" ht="15" x14ac:dyDescent="0.25">
      <c r="A425" s="5"/>
      <c r="B425" s="9" t="s">
        <v>362</v>
      </c>
      <c r="C425" s="10">
        <v>1064852594</v>
      </c>
      <c r="D425" s="11">
        <v>0.90215000000000001</v>
      </c>
      <c r="E425" s="10">
        <v>960658</v>
      </c>
      <c r="F425" s="10">
        <v>0</v>
      </c>
      <c r="G425" s="10">
        <v>960658</v>
      </c>
    </row>
    <row r="426" spans="1:7" ht="15" x14ac:dyDescent="0.25">
      <c r="A426" s="5"/>
      <c r="B426" s="6" t="s">
        <v>363</v>
      </c>
      <c r="C426" s="12">
        <v>5221018525</v>
      </c>
      <c r="D426" s="13">
        <v>1.0816399999999999</v>
      </c>
      <c r="E426" s="12">
        <v>5647236</v>
      </c>
      <c r="F426" s="12">
        <v>0</v>
      </c>
      <c r="G426" s="12">
        <v>5647236</v>
      </c>
    </row>
    <row r="427" spans="1:7" ht="15" x14ac:dyDescent="0.25">
      <c r="A427" s="5"/>
      <c r="B427" s="9" t="s">
        <v>473</v>
      </c>
      <c r="C427" s="10">
        <v>233872180</v>
      </c>
      <c r="D427" s="11">
        <v>0</v>
      </c>
      <c r="E427" s="10">
        <v>0</v>
      </c>
      <c r="F427" s="10">
        <v>41310</v>
      </c>
      <c r="G427" s="10">
        <v>41310</v>
      </c>
    </row>
    <row r="428" spans="1:7" ht="15" x14ac:dyDescent="0.25">
      <c r="A428" s="5"/>
      <c r="B428" s="6" t="s">
        <v>144</v>
      </c>
      <c r="C428" s="12">
        <v>7892718795</v>
      </c>
      <c r="D428" s="13">
        <v>0.11667</v>
      </c>
      <c r="E428" s="12">
        <v>920812</v>
      </c>
      <c r="F428" s="12">
        <v>0</v>
      </c>
      <c r="G428" s="12">
        <v>920812</v>
      </c>
    </row>
    <row r="429" spans="1:7" ht="15" x14ac:dyDescent="0.25">
      <c r="A429" s="5"/>
      <c r="B429" s="9" t="s">
        <v>59</v>
      </c>
      <c r="C429" s="10">
        <v>459462913</v>
      </c>
      <c r="D429" s="11">
        <v>3.7139999999999999E-2</v>
      </c>
      <c r="E429" s="10">
        <v>17065</v>
      </c>
      <c r="F429" s="10">
        <v>0</v>
      </c>
      <c r="G429" s="10">
        <v>17065</v>
      </c>
    </row>
    <row r="430" spans="1:7" ht="15" x14ac:dyDescent="0.25">
      <c r="A430" s="5"/>
      <c r="B430" s="6" t="s">
        <v>145</v>
      </c>
      <c r="C430" s="12">
        <v>15403467440</v>
      </c>
      <c r="D430" s="13">
        <v>6.2799999999999995E-2</v>
      </c>
      <c r="E430" s="12">
        <v>967276</v>
      </c>
      <c r="F430" s="12">
        <v>0</v>
      </c>
      <c r="G430" s="12">
        <v>967276</v>
      </c>
    </row>
    <row r="431" spans="1:7" ht="15" x14ac:dyDescent="0.25">
      <c r="A431" s="5"/>
      <c r="B431" s="2" t="s">
        <v>538</v>
      </c>
      <c r="C431" s="14"/>
      <c r="D431" s="15"/>
      <c r="E431" s="14"/>
      <c r="F431" s="14"/>
      <c r="G431" s="16">
        <f>SUM(G418:G430)</f>
        <v>19743913</v>
      </c>
    </row>
    <row r="432" spans="1:7" ht="13.5" x14ac:dyDescent="0.25">
      <c r="A432" s="5"/>
      <c r="B432" s="5"/>
      <c r="C432" s="17"/>
      <c r="D432" s="18"/>
      <c r="E432" s="17"/>
      <c r="F432" s="17"/>
      <c r="G432" s="19"/>
    </row>
    <row r="433" spans="1:7" ht="15" x14ac:dyDescent="0.25">
      <c r="A433" s="2" t="s">
        <v>146</v>
      </c>
      <c r="B433" s="3"/>
      <c r="C433" s="3"/>
      <c r="D433" s="3"/>
      <c r="E433" s="3"/>
      <c r="F433" s="3"/>
      <c r="G433" s="4"/>
    </row>
    <row r="434" spans="1:7" ht="15" x14ac:dyDescent="0.25">
      <c r="A434" s="5"/>
      <c r="B434" s="6" t="s">
        <v>456</v>
      </c>
      <c r="C434" s="12">
        <v>5319181186</v>
      </c>
      <c r="D434" s="13">
        <v>0.26778999999999997</v>
      </c>
      <c r="E434" s="12">
        <v>1424408</v>
      </c>
      <c r="F434" s="12">
        <v>0</v>
      </c>
      <c r="G434" s="12">
        <v>1424408</v>
      </c>
    </row>
    <row r="435" spans="1:7" ht="15" x14ac:dyDescent="0.25">
      <c r="A435" s="5"/>
      <c r="B435" s="9" t="s">
        <v>57</v>
      </c>
      <c r="C435" s="10">
        <v>1658055573</v>
      </c>
      <c r="D435" s="11">
        <v>0.55300000000000005</v>
      </c>
      <c r="E435" s="10">
        <v>916903</v>
      </c>
      <c r="F435" s="10">
        <v>0</v>
      </c>
      <c r="G435" s="10">
        <v>916903</v>
      </c>
    </row>
    <row r="436" spans="1:7" ht="15" x14ac:dyDescent="0.25">
      <c r="A436" s="5"/>
      <c r="B436" s="6" t="s">
        <v>505</v>
      </c>
      <c r="C436" s="12">
        <v>2827412589</v>
      </c>
      <c r="D436" s="13">
        <v>0.50753999999999999</v>
      </c>
      <c r="E436" s="12">
        <v>1435038</v>
      </c>
      <c r="F436" s="12">
        <v>0</v>
      </c>
      <c r="G436" s="12">
        <v>1435038</v>
      </c>
    </row>
    <row r="437" spans="1:7" ht="15" x14ac:dyDescent="0.25">
      <c r="A437" s="5"/>
      <c r="B437" s="9" t="s">
        <v>236</v>
      </c>
      <c r="C437" s="10">
        <v>264122543</v>
      </c>
      <c r="D437" s="11">
        <v>0.30170000000000002</v>
      </c>
      <c r="E437" s="10">
        <v>79686</v>
      </c>
      <c r="F437" s="10">
        <v>0</v>
      </c>
      <c r="G437" s="10">
        <v>79686</v>
      </c>
    </row>
    <row r="438" spans="1:7" ht="15" x14ac:dyDescent="0.25">
      <c r="A438" s="5"/>
      <c r="B438" s="6" t="s">
        <v>237</v>
      </c>
      <c r="C438" s="12">
        <v>410033085</v>
      </c>
      <c r="D438" s="13">
        <v>0.67976000000000003</v>
      </c>
      <c r="E438" s="12">
        <v>278722</v>
      </c>
      <c r="F438" s="12">
        <v>0</v>
      </c>
      <c r="G438" s="12">
        <v>278722</v>
      </c>
    </row>
    <row r="439" spans="1:7" ht="15" x14ac:dyDescent="0.25">
      <c r="A439" s="5"/>
      <c r="B439" s="9" t="s">
        <v>238</v>
      </c>
      <c r="C439" s="10">
        <v>980850972</v>
      </c>
      <c r="D439" s="11">
        <v>0.55308999999999997</v>
      </c>
      <c r="E439" s="10">
        <v>542498</v>
      </c>
      <c r="F439" s="10">
        <v>317573</v>
      </c>
      <c r="G439" s="10">
        <v>860071</v>
      </c>
    </row>
    <row r="440" spans="1:7" ht="15" x14ac:dyDescent="0.25">
      <c r="A440" s="5"/>
      <c r="B440" s="6" t="s">
        <v>239</v>
      </c>
      <c r="C440" s="12">
        <v>177623951</v>
      </c>
      <c r="D440" s="13">
        <v>0.51607000000000003</v>
      </c>
      <c r="E440" s="12">
        <v>91666</v>
      </c>
      <c r="F440" s="12">
        <v>0</v>
      </c>
      <c r="G440" s="12">
        <v>91666</v>
      </c>
    </row>
    <row r="441" spans="1:7" ht="15" x14ac:dyDescent="0.25">
      <c r="A441" s="5"/>
      <c r="B441" s="9" t="s">
        <v>240</v>
      </c>
      <c r="C441" s="10">
        <v>167488291</v>
      </c>
      <c r="D441" s="11">
        <v>0.84674000000000005</v>
      </c>
      <c r="E441" s="10">
        <v>141819</v>
      </c>
      <c r="F441" s="10">
        <v>0</v>
      </c>
      <c r="G441" s="10">
        <v>141819</v>
      </c>
    </row>
    <row r="442" spans="1:7" ht="15" x14ac:dyDescent="0.25">
      <c r="A442" s="5"/>
      <c r="B442" s="6" t="s">
        <v>241</v>
      </c>
      <c r="C442" s="12">
        <v>233960037</v>
      </c>
      <c r="D442" s="13">
        <v>0.73524</v>
      </c>
      <c r="E442" s="12">
        <v>172016</v>
      </c>
      <c r="F442" s="12">
        <v>0</v>
      </c>
      <c r="G442" s="12">
        <v>172016</v>
      </c>
    </row>
    <row r="443" spans="1:7" ht="15" x14ac:dyDescent="0.25">
      <c r="A443" s="5"/>
      <c r="B443" s="9" t="s">
        <v>319</v>
      </c>
      <c r="C443" s="10">
        <v>969755596</v>
      </c>
      <c r="D443" s="11">
        <v>0.74807000000000001</v>
      </c>
      <c r="E443" s="10">
        <v>725447</v>
      </c>
      <c r="F443" s="10">
        <v>0</v>
      </c>
      <c r="G443" s="10">
        <v>725447</v>
      </c>
    </row>
    <row r="444" spans="1:7" ht="15" x14ac:dyDescent="0.25">
      <c r="A444" s="5"/>
      <c r="B444" s="6" t="s">
        <v>320</v>
      </c>
      <c r="C444" s="12">
        <v>47258202</v>
      </c>
      <c r="D444" s="13">
        <v>1.32182</v>
      </c>
      <c r="E444" s="12">
        <v>62467</v>
      </c>
      <c r="F444" s="12">
        <v>0</v>
      </c>
      <c r="G444" s="12">
        <v>62467</v>
      </c>
    </row>
    <row r="445" spans="1:7" ht="15" x14ac:dyDescent="0.25">
      <c r="A445" s="5"/>
      <c r="B445" s="9" t="s">
        <v>321</v>
      </c>
      <c r="C445" s="10">
        <v>251474795</v>
      </c>
      <c r="D445" s="11">
        <v>1.02424</v>
      </c>
      <c r="E445" s="10">
        <v>257570</v>
      </c>
      <c r="F445" s="10">
        <v>0</v>
      </c>
      <c r="G445" s="10">
        <v>257570</v>
      </c>
    </row>
    <row r="446" spans="1:7" ht="15" x14ac:dyDescent="0.25">
      <c r="A446" s="5"/>
      <c r="B446" s="6" t="s">
        <v>324</v>
      </c>
      <c r="C446" s="12">
        <v>197323193</v>
      </c>
      <c r="D446" s="13">
        <v>0.83506000000000002</v>
      </c>
      <c r="E446" s="12">
        <v>164777</v>
      </c>
      <c r="F446" s="12">
        <v>0</v>
      </c>
      <c r="G446" s="12">
        <v>164777</v>
      </c>
    </row>
    <row r="447" spans="1:7" ht="15" x14ac:dyDescent="0.25">
      <c r="A447" s="5"/>
      <c r="B447" s="9" t="s">
        <v>331</v>
      </c>
      <c r="C447" s="10">
        <v>51688520</v>
      </c>
      <c r="D447" s="11">
        <v>0.82991000000000004</v>
      </c>
      <c r="E447" s="10">
        <v>42897</v>
      </c>
      <c r="F447" s="10">
        <v>0</v>
      </c>
      <c r="G447" s="10">
        <v>42897</v>
      </c>
    </row>
    <row r="448" spans="1:7" ht="15" x14ac:dyDescent="0.25">
      <c r="A448" s="5"/>
      <c r="B448" s="6" t="s">
        <v>332</v>
      </c>
      <c r="C448" s="12">
        <v>51024782</v>
      </c>
      <c r="D448" s="13">
        <v>0.58765999999999996</v>
      </c>
      <c r="E448" s="12">
        <v>29985</v>
      </c>
      <c r="F448" s="12">
        <v>0</v>
      </c>
      <c r="G448" s="12">
        <v>29985</v>
      </c>
    </row>
    <row r="449" spans="1:7" ht="15" x14ac:dyDescent="0.25">
      <c r="A449" s="5"/>
      <c r="B449" s="9" t="s">
        <v>325</v>
      </c>
      <c r="C449" s="10">
        <v>87404905</v>
      </c>
      <c r="D449" s="11">
        <v>0.41881000000000002</v>
      </c>
      <c r="E449" s="10">
        <v>36606</v>
      </c>
      <c r="F449" s="10">
        <v>0</v>
      </c>
      <c r="G449" s="10">
        <v>36606</v>
      </c>
    </row>
    <row r="450" spans="1:7" ht="15" x14ac:dyDescent="0.25">
      <c r="A450" s="5"/>
      <c r="B450" s="6" t="s">
        <v>330</v>
      </c>
      <c r="C450" s="12">
        <v>111295543</v>
      </c>
      <c r="D450" s="13">
        <v>0.434</v>
      </c>
      <c r="E450" s="12">
        <v>48303</v>
      </c>
      <c r="F450" s="12">
        <v>0</v>
      </c>
      <c r="G450" s="12">
        <v>48303</v>
      </c>
    </row>
    <row r="451" spans="1:7" ht="15" x14ac:dyDescent="0.25">
      <c r="A451" s="5"/>
      <c r="B451" s="9" t="s">
        <v>333</v>
      </c>
      <c r="C451" s="10">
        <v>12304576</v>
      </c>
      <c r="D451" s="11">
        <v>0.50582000000000005</v>
      </c>
      <c r="E451" s="10">
        <v>6224</v>
      </c>
      <c r="F451" s="10">
        <v>0</v>
      </c>
      <c r="G451" s="10">
        <v>6224</v>
      </c>
    </row>
    <row r="452" spans="1:7" ht="15" x14ac:dyDescent="0.25">
      <c r="A452" s="5"/>
      <c r="B452" s="6" t="s">
        <v>474</v>
      </c>
      <c r="C452" s="12">
        <v>1888546118</v>
      </c>
      <c r="D452" s="13">
        <v>0.17446</v>
      </c>
      <c r="E452" s="12">
        <v>329474</v>
      </c>
      <c r="F452" s="12">
        <v>0</v>
      </c>
      <c r="G452" s="12">
        <v>329474</v>
      </c>
    </row>
    <row r="453" spans="1:7" ht="15" x14ac:dyDescent="0.25">
      <c r="A453" s="5"/>
      <c r="B453" s="9" t="s">
        <v>364</v>
      </c>
      <c r="C453" s="10">
        <v>2887749120</v>
      </c>
      <c r="D453" s="11">
        <v>0.11114</v>
      </c>
      <c r="E453" s="10">
        <v>320955</v>
      </c>
      <c r="F453" s="10">
        <v>0</v>
      </c>
      <c r="G453" s="10">
        <v>320955</v>
      </c>
    </row>
    <row r="454" spans="1:7" ht="15" x14ac:dyDescent="0.25">
      <c r="A454" s="5"/>
      <c r="B454" s="6" t="s">
        <v>14</v>
      </c>
      <c r="C454" s="12">
        <v>4711824908</v>
      </c>
      <c r="D454" s="13">
        <v>0.38612000000000002</v>
      </c>
      <c r="E454" s="12">
        <v>1819315</v>
      </c>
      <c r="F454" s="12">
        <v>0</v>
      </c>
      <c r="G454" s="12">
        <v>1819315</v>
      </c>
    </row>
    <row r="455" spans="1:7" ht="15" x14ac:dyDescent="0.25">
      <c r="A455" s="5"/>
      <c r="B455" s="9" t="s">
        <v>365</v>
      </c>
      <c r="C455" s="10">
        <v>1420300150</v>
      </c>
      <c r="D455" s="11">
        <v>0.29149000000000003</v>
      </c>
      <c r="E455" s="10">
        <v>414010</v>
      </c>
      <c r="F455" s="10">
        <v>0</v>
      </c>
      <c r="G455" s="10">
        <v>414010</v>
      </c>
    </row>
    <row r="456" spans="1:7" ht="15" x14ac:dyDescent="0.25">
      <c r="A456" s="5"/>
      <c r="B456" s="6" t="s">
        <v>59</v>
      </c>
      <c r="C456" s="12">
        <v>1889421387</v>
      </c>
      <c r="D456" s="13">
        <v>5.1900000000000002E-3</v>
      </c>
      <c r="E456" s="12">
        <v>9813</v>
      </c>
      <c r="F456" s="12">
        <v>0</v>
      </c>
      <c r="G456" s="12">
        <v>9813</v>
      </c>
    </row>
    <row r="457" spans="1:7" ht="15" x14ac:dyDescent="0.25">
      <c r="A457" s="5"/>
      <c r="B457" s="9" t="s">
        <v>60</v>
      </c>
      <c r="C457" s="10">
        <v>148772444</v>
      </c>
      <c r="D457" s="11">
        <v>7.6219999999999996E-2</v>
      </c>
      <c r="E457" s="10">
        <v>11339</v>
      </c>
      <c r="F457" s="10">
        <v>0</v>
      </c>
      <c r="G457" s="10">
        <v>11339</v>
      </c>
    </row>
    <row r="458" spans="1:7" ht="15" x14ac:dyDescent="0.25">
      <c r="A458" s="5"/>
      <c r="B458" s="6" t="s">
        <v>147</v>
      </c>
      <c r="C458" s="12">
        <v>47258202</v>
      </c>
      <c r="D458" s="13">
        <v>6.2579999999999997E-2</v>
      </c>
      <c r="E458" s="12">
        <v>2958</v>
      </c>
      <c r="F458" s="12">
        <v>0</v>
      </c>
      <c r="G458" s="12">
        <v>2958</v>
      </c>
    </row>
    <row r="459" spans="1:7" ht="15" x14ac:dyDescent="0.25">
      <c r="A459" s="5"/>
      <c r="B459" s="9" t="s">
        <v>148</v>
      </c>
      <c r="C459" s="10">
        <v>12394554</v>
      </c>
      <c r="D459" s="11">
        <v>5.5239999999999997E-2</v>
      </c>
      <c r="E459" s="10">
        <v>685</v>
      </c>
      <c r="F459" s="10">
        <v>0</v>
      </c>
      <c r="G459" s="10">
        <v>685</v>
      </c>
    </row>
    <row r="460" spans="1:7" ht="15" x14ac:dyDescent="0.25">
      <c r="A460" s="5"/>
      <c r="B460" s="20" t="s">
        <v>538</v>
      </c>
      <c r="C460" s="21"/>
      <c r="D460" s="22"/>
      <c r="E460" s="21"/>
      <c r="F460" s="21"/>
      <c r="G460" s="23">
        <f>SUM(G434:G459)</f>
        <v>9683154</v>
      </c>
    </row>
    <row r="461" spans="1:7" ht="13.5" x14ac:dyDescent="0.25">
      <c r="A461" s="5"/>
      <c r="B461" s="5"/>
      <c r="C461" s="17"/>
      <c r="D461" s="18"/>
      <c r="E461" s="17"/>
      <c r="F461" s="17"/>
      <c r="G461" s="19"/>
    </row>
    <row r="462" spans="1:7" ht="15" x14ac:dyDescent="0.25">
      <c r="A462" s="2" t="s">
        <v>149</v>
      </c>
      <c r="B462" s="3"/>
      <c r="C462" s="3"/>
      <c r="D462" s="3"/>
      <c r="E462" s="3"/>
      <c r="F462" s="3"/>
      <c r="G462" s="4"/>
    </row>
    <row r="463" spans="1:7" ht="15" x14ac:dyDescent="0.25">
      <c r="A463" s="5"/>
      <c r="B463" s="6" t="s">
        <v>71</v>
      </c>
      <c r="C463" s="12">
        <v>16288351733</v>
      </c>
      <c r="D463" s="13">
        <v>0.23402000000000001</v>
      </c>
      <c r="E463" s="12">
        <v>3811865</v>
      </c>
      <c r="F463" s="12">
        <v>0</v>
      </c>
      <c r="G463" s="12">
        <v>3811865</v>
      </c>
    </row>
    <row r="464" spans="1:7" ht="15" x14ac:dyDescent="0.25">
      <c r="A464" s="5"/>
      <c r="B464" s="9" t="s">
        <v>23</v>
      </c>
      <c r="C464" s="10">
        <v>2670158422</v>
      </c>
      <c r="D464" s="11">
        <v>0.27531</v>
      </c>
      <c r="E464" s="10">
        <v>735132</v>
      </c>
      <c r="F464" s="10">
        <v>0</v>
      </c>
      <c r="G464" s="10">
        <v>735132</v>
      </c>
    </row>
    <row r="465" spans="1:7" ht="15" x14ac:dyDescent="0.25">
      <c r="A465" s="5"/>
      <c r="B465" s="6" t="s">
        <v>236</v>
      </c>
      <c r="C465" s="12">
        <v>765158530</v>
      </c>
      <c r="D465" s="13">
        <v>1.0993299999999999</v>
      </c>
      <c r="E465" s="12">
        <v>794176</v>
      </c>
      <c r="F465" s="12">
        <v>137173</v>
      </c>
      <c r="G465" s="12">
        <v>931349</v>
      </c>
    </row>
    <row r="466" spans="1:7" ht="15" x14ac:dyDescent="0.25">
      <c r="A466" s="5"/>
      <c r="B466" s="9" t="s">
        <v>237</v>
      </c>
      <c r="C466" s="10">
        <v>825505955</v>
      </c>
      <c r="D466" s="11">
        <v>0.49743999999999999</v>
      </c>
      <c r="E466" s="10">
        <v>410641</v>
      </c>
      <c r="F466" s="10">
        <v>0</v>
      </c>
      <c r="G466" s="10">
        <v>410641</v>
      </c>
    </row>
    <row r="467" spans="1:7" ht="15" x14ac:dyDescent="0.25">
      <c r="A467" s="5"/>
      <c r="B467" s="6" t="s">
        <v>238</v>
      </c>
      <c r="C467" s="12">
        <v>467476330</v>
      </c>
      <c r="D467" s="13">
        <v>0.36070999999999998</v>
      </c>
      <c r="E467" s="12">
        <v>157355</v>
      </c>
      <c r="F467" s="12">
        <v>155499</v>
      </c>
      <c r="G467" s="12">
        <v>312854</v>
      </c>
    </row>
    <row r="468" spans="1:7" ht="15" x14ac:dyDescent="0.25">
      <c r="A468" s="5"/>
      <c r="B468" s="9" t="s">
        <v>239</v>
      </c>
      <c r="C468" s="10">
        <v>498653795</v>
      </c>
      <c r="D468" s="11">
        <v>0.36186000000000001</v>
      </c>
      <c r="E468" s="10">
        <v>180443</v>
      </c>
      <c r="F468" s="10">
        <v>0</v>
      </c>
      <c r="G468" s="10">
        <v>180443</v>
      </c>
    </row>
    <row r="469" spans="1:7" ht="15" x14ac:dyDescent="0.25">
      <c r="A469" s="5"/>
      <c r="B469" s="6" t="s">
        <v>240</v>
      </c>
      <c r="C469" s="12">
        <v>1589492559</v>
      </c>
      <c r="D469" s="13">
        <v>1.1664699999999999</v>
      </c>
      <c r="E469" s="12">
        <v>1854102</v>
      </c>
      <c r="F469" s="12">
        <v>0</v>
      </c>
      <c r="G469" s="12">
        <v>1854102</v>
      </c>
    </row>
    <row r="470" spans="1:7" ht="15" x14ac:dyDescent="0.25">
      <c r="A470" s="5"/>
      <c r="B470" s="9" t="s">
        <v>241</v>
      </c>
      <c r="C470" s="10">
        <v>2166402984</v>
      </c>
      <c r="D470" s="11">
        <v>0.76683999999999997</v>
      </c>
      <c r="E470" s="10">
        <v>1661280</v>
      </c>
      <c r="F470" s="10">
        <v>0</v>
      </c>
      <c r="G470" s="10">
        <v>1661280</v>
      </c>
    </row>
    <row r="471" spans="1:7" ht="15" x14ac:dyDescent="0.25">
      <c r="A471" s="5"/>
      <c r="B471" s="6" t="s">
        <v>320</v>
      </c>
      <c r="C471" s="12">
        <v>889257027</v>
      </c>
      <c r="D471" s="13">
        <v>0.45539000000000002</v>
      </c>
      <c r="E471" s="12">
        <v>404963</v>
      </c>
      <c r="F471" s="12">
        <v>0</v>
      </c>
      <c r="G471" s="12">
        <v>404963</v>
      </c>
    </row>
    <row r="472" spans="1:7" ht="15" x14ac:dyDescent="0.25">
      <c r="A472" s="5"/>
      <c r="B472" s="9" t="s">
        <v>321</v>
      </c>
      <c r="C472" s="10">
        <v>129756074</v>
      </c>
      <c r="D472" s="11">
        <v>0.31920999999999999</v>
      </c>
      <c r="E472" s="10">
        <v>41419</v>
      </c>
      <c r="F472" s="10">
        <v>0</v>
      </c>
      <c r="G472" s="10">
        <v>41419</v>
      </c>
    </row>
    <row r="473" spans="1:7" ht="15" x14ac:dyDescent="0.25">
      <c r="A473" s="5"/>
      <c r="B473" s="6" t="s">
        <v>324</v>
      </c>
      <c r="C473" s="12">
        <v>745081372</v>
      </c>
      <c r="D473" s="13">
        <v>0.32690000000000002</v>
      </c>
      <c r="E473" s="12">
        <v>243565</v>
      </c>
      <c r="F473" s="12">
        <v>0</v>
      </c>
      <c r="G473" s="12">
        <v>243565</v>
      </c>
    </row>
    <row r="474" spans="1:7" ht="15" x14ac:dyDescent="0.25">
      <c r="A474" s="5"/>
      <c r="B474" s="9" t="s">
        <v>331</v>
      </c>
      <c r="C474" s="10">
        <v>157067125</v>
      </c>
      <c r="D474" s="11">
        <v>0.46933999999999998</v>
      </c>
      <c r="E474" s="10">
        <v>73718</v>
      </c>
      <c r="F474" s="10">
        <v>0</v>
      </c>
      <c r="G474" s="10">
        <v>73718</v>
      </c>
    </row>
    <row r="475" spans="1:7" ht="15" x14ac:dyDescent="0.25">
      <c r="A475" s="5"/>
      <c r="B475" s="6" t="s">
        <v>325</v>
      </c>
      <c r="C475" s="12">
        <v>155754528</v>
      </c>
      <c r="D475" s="13">
        <v>0.84723000000000004</v>
      </c>
      <c r="E475" s="12">
        <v>131960</v>
      </c>
      <c r="F475" s="12">
        <v>0</v>
      </c>
      <c r="G475" s="12">
        <v>131960</v>
      </c>
    </row>
    <row r="476" spans="1:7" ht="15" x14ac:dyDescent="0.25">
      <c r="A476" s="5"/>
      <c r="B476" s="9" t="s">
        <v>330</v>
      </c>
      <c r="C476" s="10">
        <v>416142317</v>
      </c>
      <c r="D476" s="11">
        <v>0.46860000000000002</v>
      </c>
      <c r="E476" s="10">
        <v>195004</v>
      </c>
      <c r="F476" s="10">
        <v>0</v>
      </c>
      <c r="G476" s="10">
        <v>195004</v>
      </c>
    </row>
    <row r="477" spans="1:7" ht="15" x14ac:dyDescent="0.25">
      <c r="A477" s="5"/>
      <c r="B477" s="6" t="s">
        <v>333</v>
      </c>
      <c r="C477" s="12">
        <v>1218134704</v>
      </c>
      <c r="D477" s="13">
        <v>1.0318700000000001</v>
      </c>
      <c r="E477" s="12">
        <v>1256952</v>
      </c>
      <c r="F477" s="12">
        <v>0</v>
      </c>
      <c r="G477" s="12">
        <v>1256952</v>
      </c>
    </row>
    <row r="478" spans="1:7" ht="15" x14ac:dyDescent="0.25">
      <c r="A478" s="5"/>
      <c r="B478" s="9" t="s">
        <v>344</v>
      </c>
      <c r="C478" s="10">
        <v>151805433</v>
      </c>
      <c r="D478" s="11">
        <v>0.27572999999999998</v>
      </c>
      <c r="E478" s="10">
        <v>41857</v>
      </c>
      <c r="F478" s="10">
        <v>0</v>
      </c>
      <c r="G478" s="10">
        <v>41857</v>
      </c>
    </row>
    <row r="479" spans="1:7" ht="15" x14ac:dyDescent="0.25">
      <c r="A479" s="5"/>
      <c r="B479" s="6" t="s">
        <v>345</v>
      </c>
      <c r="C479" s="12">
        <v>103583575</v>
      </c>
      <c r="D479" s="13">
        <v>0.48320000000000002</v>
      </c>
      <c r="E479" s="12">
        <v>50052</v>
      </c>
      <c r="F479" s="12">
        <v>0</v>
      </c>
      <c r="G479" s="12">
        <v>50052</v>
      </c>
    </row>
    <row r="480" spans="1:7" ht="15" x14ac:dyDescent="0.25">
      <c r="A480" s="5"/>
      <c r="B480" s="9" t="s">
        <v>366</v>
      </c>
      <c r="C480" s="10">
        <v>136490738</v>
      </c>
      <c r="D480" s="11">
        <v>0.47405999999999998</v>
      </c>
      <c r="E480" s="10">
        <v>64705</v>
      </c>
      <c r="F480" s="10">
        <v>0</v>
      </c>
      <c r="G480" s="10">
        <v>64705</v>
      </c>
    </row>
    <row r="481" spans="1:7" ht="15" x14ac:dyDescent="0.25">
      <c r="A481" s="5"/>
      <c r="B481" s="6" t="s">
        <v>367</v>
      </c>
      <c r="C481" s="12">
        <v>227680715</v>
      </c>
      <c r="D481" s="13">
        <v>1.29956</v>
      </c>
      <c r="E481" s="12">
        <v>295885</v>
      </c>
      <c r="F481" s="12">
        <v>0</v>
      </c>
      <c r="G481" s="12">
        <v>295885</v>
      </c>
    </row>
    <row r="482" spans="1:7" ht="15" x14ac:dyDescent="0.25">
      <c r="A482" s="5"/>
      <c r="B482" s="9" t="s">
        <v>150</v>
      </c>
      <c r="C482" s="10">
        <v>4278171833</v>
      </c>
      <c r="D482" s="11">
        <v>0.26869999999999999</v>
      </c>
      <c r="E482" s="10">
        <v>1149541</v>
      </c>
      <c r="F482" s="10">
        <v>0</v>
      </c>
      <c r="G482" s="10">
        <v>1149541</v>
      </c>
    </row>
    <row r="483" spans="1:7" ht="15" x14ac:dyDescent="0.25">
      <c r="A483" s="5"/>
      <c r="B483" s="6" t="s">
        <v>151</v>
      </c>
      <c r="C483" s="12">
        <v>3591247147</v>
      </c>
      <c r="D483" s="13">
        <v>0.21614</v>
      </c>
      <c r="E483" s="12">
        <v>776209</v>
      </c>
      <c r="F483" s="12">
        <v>0</v>
      </c>
      <c r="G483" s="12">
        <v>776209</v>
      </c>
    </row>
    <row r="484" spans="1:7" ht="15" x14ac:dyDescent="0.25">
      <c r="A484" s="5"/>
      <c r="B484" s="9" t="s">
        <v>85</v>
      </c>
      <c r="C484" s="10">
        <v>772816708</v>
      </c>
      <c r="D484" s="11">
        <v>0.28078999999999998</v>
      </c>
      <c r="E484" s="10">
        <v>216999</v>
      </c>
      <c r="F484" s="10">
        <v>0</v>
      </c>
      <c r="G484" s="10">
        <v>216999</v>
      </c>
    </row>
    <row r="485" spans="1:7" ht="15" x14ac:dyDescent="0.25">
      <c r="A485" s="5"/>
      <c r="B485" s="6" t="s">
        <v>152</v>
      </c>
      <c r="C485" s="12">
        <v>891410565</v>
      </c>
      <c r="D485" s="13">
        <v>0.40500999999999998</v>
      </c>
      <c r="E485" s="12">
        <v>361027</v>
      </c>
      <c r="F485" s="12">
        <v>0</v>
      </c>
      <c r="G485" s="12">
        <v>361027</v>
      </c>
    </row>
    <row r="486" spans="1:7" ht="15" x14ac:dyDescent="0.25">
      <c r="A486" s="5"/>
      <c r="B486" s="9" t="s">
        <v>91</v>
      </c>
      <c r="C486" s="10">
        <v>473610881</v>
      </c>
      <c r="D486" s="11">
        <v>0.33895999999999998</v>
      </c>
      <c r="E486" s="10">
        <v>160536</v>
      </c>
      <c r="F486" s="10">
        <v>0</v>
      </c>
      <c r="G486" s="10">
        <v>160536</v>
      </c>
    </row>
    <row r="487" spans="1:7" ht="15" x14ac:dyDescent="0.25">
      <c r="A487" s="5"/>
      <c r="B487" s="6" t="s">
        <v>93</v>
      </c>
      <c r="C487" s="12">
        <v>1650781089</v>
      </c>
      <c r="D487" s="13">
        <v>0.32190999999999997</v>
      </c>
      <c r="E487" s="12">
        <v>531406</v>
      </c>
      <c r="F487" s="12">
        <v>0</v>
      </c>
      <c r="G487" s="12">
        <v>531406</v>
      </c>
    </row>
    <row r="488" spans="1:7" ht="15" x14ac:dyDescent="0.25">
      <c r="A488" s="5"/>
      <c r="B488" s="9" t="s">
        <v>41</v>
      </c>
      <c r="C488" s="10">
        <v>2282676482</v>
      </c>
      <c r="D488" s="11">
        <v>0.47099000000000002</v>
      </c>
      <c r="E488" s="10">
        <v>1075121</v>
      </c>
      <c r="F488" s="10">
        <v>0</v>
      </c>
      <c r="G488" s="10">
        <v>1075121</v>
      </c>
    </row>
    <row r="489" spans="1:7" ht="15" x14ac:dyDescent="0.25">
      <c r="A489" s="5"/>
      <c r="B489" s="6" t="s">
        <v>246</v>
      </c>
      <c r="C489" s="12">
        <v>978034325</v>
      </c>
      <c r="D489" s="13">
        <v>0.37598999999999999</v>
      </c>
      <c r="E489" s="12">
        <v>367732</v>
      </c>
      <c r="F489" s="12">
        <v>0</v>
      </c>
      <c r="G489" s="12">
        <v>367732</v>
      </c>
    </row>
    <row r="490" spans="1:7" ht="15" x14ac:dyDescent="0.25">
      <c r="A490" s="5"/>
      <c r="B490" s="9" t="s">
        <v>153</v>
      </c>
      <c r="C490" s="10">
        <v>139111274</v>
      </c>
      <c r="D490" s="11">
        <v>0.46668999999999999</v>
      </c>
      <c r="E490" s="10">
        <v>64922</v>
      </c>
      <c r="F490" s="10">
        <v>0</v>
      </c>
      <c r="G490" s="10">
        <v>64922</v>
      </c>
    </row>
    <row r="491" spans="1:7" ht="15" x14ac:dyDescent="0.25">
      <c r="A491" s="5"/>
      <c r="B491" s="6" t="s">
        <v>154</v>
      </c>
      <c r="C491" s="12">
        <v>782093193</v>
      </c>
      <c r="D491" s="13">
        <v>0.22481000000000001</v>
      </c>
      <c r="E491" s="12">
        <v>175820</v>
      </c>
      <c r="F491" s="12">
        <v>0</v>
      </c>
      <c r="G491" s="12">
        <v>175820</v>
      </c>
    </row>
    <row r="492" spans="1:7" ht="15" x14ac:dyDescent="0.25">
      <c r="A492" s="5"/>
      <c r="B492" s="9" t="s">
        <v>155</v>
      </c>
      <c r="C492" s="10">
        <v>446279712</v>
      </c>
      <c r="D492" s="11">
        <v>0.20663999999999999</v>
      </c>
      <c r="E492" s="10">
        <v>92218</v>
      </c>
      <c r="F492" s="10">
        <v>0</v>
      </c>
      <c r="G492" s="10">
        <v>92218</v>
      </c>
    </row>
    <row r="493" spans="1:7" ht="15" x14ac:dyDescent="0.25">
      <c r="A493" s="5"/>
      <c r="B493" s="6" t="s">
        <v>156</v>
      </c>
      <c r="C493" s="12">
        <v>1278775240</v>
      </c>
      <c r="D493" s="13">
        <v>0.36301</v>
      </c>
      <c r="E493" s="12">
        <v>464203</v>
      </c>
      <c r="F493" s="12">
        <v>0</v>
      </c>
      <c r="G493" s="12">
        <v>464203</v>
      </c>
    </row>
    <row r="494" spans="1:7" ht="15" x14ac:dyDescent="0.25">
      <c r="A494" s="5"/>
      <c r="B494" s="9" t="s">
        <v>157</v>
      </c>
      <c r="C494" s="10">
        <v>111013675</v>
      </c>
      <c r="D494" s="11">
        <v>0.29643000000000003</v>
      </c>
      <c r="E494" s="10">
        <v>32908</v>
      </c>
      <c r="F494" s="10">
        <v>0</v>
      </c>
      <c r="G494" s="10">
        <v>32908</v>
      </c>
    </row>
    <row r="495" spans="1:7" ht="15" x14ac:dyDescent="0.25">
      <c r="A495" s="5"/>
      <c r="B495" s="6" t="s">
        <v>158</v>
      </c>
      <c r="C495" s="12">
        <v>143559431</v>
      </c>
      <c r="D495" s="13">
        <v>0.17612</v>
      </c>
      <c r="E495" s="12">
        <v>25284</v>
      </c>
      <c r="F495" s="12">
        <v>0</v>
      </c>
      <c r="G495" s="12">
        <v>25284</v>
      </c>
    </row>
    <row r="496" spans="1:7" ht="15" x14ac:dyDescent="0.25">
      <c r="A496" s="5"/>
      <c r="B496" s="9" t="s">
        <v>159</v>
      </c>
      <c r="C496" s="10">
        <v>239979415</v>
      </c>
      <c r="D496" s="11">
        <v>0.28748000000000001</v>
      </c>
      <c r="E496" s="10">
        <v>68989</v>
      </c>
      <c r="F496" s="10">
        <v>0</v>
      </c>
      <c r="G496" s="10">
        <v>68989</v>
      </c>
    </row>
    <row r="497" spans="1:7" ht="15" x14ac:dyDescent="0.25">
      <c r="A497" s="5"/>
      <c r="B497" s="6" t="s">
        <v>368</v>
      </c>
      <c r="C497" s="12">
        <v>4363288019</v>
      </c>
      <c r="D497" s="13">
        <v>0.38923999999999997</v>
      </c>
      <c r="E497" s="12">
        <v>1698362</v>
      </c>
      <c r="F497" s="12">
        <v>0</v>
      </c>
      <c r="G497" s="12">
        <v>1698362</v>
      </c>
    </row>
    <row r="498" spans="1:7" ht="15" x14ac:dyDescent="0.25">
      <c r="A498" s="5"/>
      <c r="B498" s="9" t="s">
        <v>160</v>
      </c>
      <c r="C498" s="10">
        <v>1400057375</v>
      </c>
      <c r="D498" s="11">
        <v>0.34786</v>
      </c>
      <c r="E498" s="10">
        <v>487030</v>
      </c>
      <c r="F498" s="10">
        <v>0</v>
      </c>
      <c r="G498" s="10">
        <v>487030</v>
      </c>
    </row>
    <row r="499" spans="1:7" ht="15" x14ac:dyDescent="0.25">
      <c r="A499" s="5"/>
      <c r="B499" s="6" t="s">
        <v>28</v>
      </c>
      <c r="C499" s="12">
        <v>1293185007</v>
      </c>
      <c r="D499" s="13">
        <v>5.1869999999999999E-2</v>
      </c>
      <c r="E499" s="12">
        <v>67078</v>
      </c>
      <c r="F499" s="12">
        <v>0</v>
      </c>
      <c r="G499" s="12">
        <v>67078</v>
      </c>
    </row>
    <row r="500" spans="1:7" ht="15" x14ac:dyDescent="0.25">
      <c r="A500" s="5"/>
      <c r="B500" s="9" t="s">
        <v>29</v>
      </c>
      <c r="C500" s="10">
        <v>985530877</v>
      </c>
      <c r="D500" s="11">
        <v>4.1059999999999999E-2</v>
      </c>
      <c r="E500" s="10">
        <v>40468</v>
      </c>
      <c r="F500" s="10">
        <v>0</v>
      </c>
      <c r="G500" s="10">
        <v>40468</v>
      </c>
    </row>
    <row r="501" spans="1:7" ht="15" x14ac:dyDescent="0.25">
      <c r="A501" s="5"/>
      <c r="B501" s="6" t="s">
        <v>30</v>
      </c>
      <c r="C501" s="12">
        <v>164652634</v>
      </c>
      <c r="D501" s="13">
        <v>2.043E-2</v>
      </c>
      <c r="E501" s="12">
        <v>3363</v>
      </c>
      <c r="F501" s="12">
        <v>0</v>
      </c>
      <c r="G501" s="12">
        <v>3363</v>
      </c>
    </row>
    <row r="502" spans="1:7" ht="15" x14ac:dyDescent="0.25">
      <c r="A502" s="5"/>
      <c r="B502" s="9" t="s">
        <v>31</v>
      </c>
      <c r="C502" s="10">
        <v>1407054051</v>
      </c>
      <c r="D502" s="11">
        <v>3.006E-2</v>
      </c>
      <c r="E502" s="10">
        <v>42302</v>
      </c>
      <c r="F502" s="10">
        <v>0</v>
      </c>
      <c r="G502" s="10">
        <v>42302</v>
      </c>
    </row>
    <row r="503" spans="1:7" ht="15" x14ac:dyDescent="0.25">
      <c r="A503" s="5"/>
      <c r="B503" s="6" t="s">
        <v>32</v>
      </c>
      <c r="C503" s="12">
        <v>221768681</v>
      </c>
      <c r="D503" s="13">
        <v>4.5659999999999999E-2</v>
      </c>
      <c r="E503" s="12">
        <v>10126</v>
      </c>
      <c r="F503" s="12">
        <v>0</v>
      </c>
      <c r="G503" s="12">
        <v>10126</v>
      </c>
    </row>
    <row r="504" spans="1:7" ht="15" x14ac:dyDescent="0.25">
      <c r="A504" s="5"/>
      <c r="B504" s="9" t="s">
        <v>44</v>
      </c>
      <c r="C504" s="10">
        <v>1351120011</v>
      </c>
      <c r="D504" s="11">
        <v>1.9099999999999999E-2</v>
      </c>
      <c r="E504" s="10">
        <v>25807</v>
      </c>
      <c r="F504" s="10">
        <v>0</v>
      </c>
      <c r="G504" s="10">
        <v>25807</v>
      </c>
    </row>
    <row r="505" spans="1:7" ht="15" x14ac:dyDescent="0.25">
      <c r="A505" s="5"/>
      <c r="B505" s="6" t="s">
        <v>52</v>
      </c>
      <c r="C505" s="12">
        <v>767962322</v>
      </c>
      <c r="D505" s="13">
        <v>3.0769999999999999E-2</v>
      </c>
      <c r="E505" s="12">
        <v>23627</v>
      </c>
      <c r="F505" s="12">
        <v>0</v>
      </c>
      <c r="G505" s="12">
        <v>23627</v>
      </c>
    </row>
    <row r="506" spans="1:7" ht="15" x14ac:dyDescent="0.25">
      <c r="A506" s="5"/>
      <c r="B506" s="9" t="s">
        <v>161</v>
      </c>
      <c r="C506" s="10">
        <v>252933988</v>
      </c>
      <c r="D506" s="11">
        <v>4.6710000000000002E-2</v>
      </c>
      <c r="E506" s="10">
        <v>11814</v>
      </c>
      <c r="F506" s="10">
        <v>0</v>
      </c>
      <c r="G506" s="10">
        <v>11814</v>
      </c>
    </row>
    <row r="507" spans="1:7" ht="15" x14ac:dyDescent="0.25">
      <c r="A507" s="5"/>
      <c r="B507" s="6" t="s">
        <v>162</v>
      </c>
      <c r="C507" s="12">
        <v>1374291585</v>
      </c>
      <c r="D507" s="13">
        <v>3.6330000000000001E-2</v>
      </c>
      <c r="E507" s="12">
        <v>49922</v>
      </c>
      <c r="F507" s="12">
        <v>0</v>
      </c>
      <c r="G507" s="12">
        <v>49922</v>
      </c>
    </row>
    <row r="508" spans="1:7" ht="15" x14ac:dyDescent="0.25">
      <c r="A508" s="5"/>
      <c r="B508" s="9" t="s">
        <v>163</v>
      </c>
      <c r="C508" s="10">
        <v>139111274</v>
      </c>
      <c r="D508" s="11">
        <v>3.2289999999999999E-2</v>
      </c>
      <c r="E508" s="10">
        <v>4492</v>
      </c>
      <c r="F508" s="10">
        <v>0</v>
      </c>
      <c r="G508" s="10">
        <v>4492</v>
      </c>
    </row>
    <row r="509" spans="1:7" ht="15" x14ac:dyDescent="0.25">
      <c r="A509" s="5"/>
      <c r="B509" s="6" t="s">
        <v>369</v>
      </c>
      <c r="C509" s="12">
        <v>4266165997</v>
      </c>
      <c r="D509" s="13">
        <v>1.03691</v>
      </c>
      <c r="E509" s="12">
        <v>4423620</v>
      </c>
      <c r="F509" s="12">
        <v>0</v>
      </c>
      <c r="G509" s="12">
        <v>4423620</v>
      </c>
    </row>
    <row r="510" spans="1:7" ht="15" x14ac:dyDescent="0.25">
      <c r="A510" s="5"/>
      <c r="B510" s="2" t="s">
        <v>538</v>
      </c>
      <c r="C510" s="14"/>
      <c r="D510" s="15"/>
      <c r="E510" s="14"/>
      <c r="F510" s="14"/>
      <c r="G510" s="16">
        <f>SUM(G463:G509)</f>
        <v>25148672</v>
      </c>
    </row>
    <row r="511" spans="1:7" ht="13.5" x14ac:dyDescent="0.25">
      <c r="A511" s="5"/>
      <c r="B511" s="5"/>
      <c r="C511" s="5"/>
      <c r="D511" s="5"/>
      <c r="E511" s="5"/>
      <c r="F511" s="5"/>
      <c r="G511" s="19"/>
    </row>
    <row r="512" spans="1:7" ht="15" x14ac:dyDescent="0.25">
      <c r="A512" s="2" t="s">
        <v>164</v>
      </c>
      <c r="B512" s="3"/>
      <c r="C512" s="3"/>
      <c r="D512" s="3"/>
      <c r="E512" s="3"/>
      <c r="F512" s="3"/>
      <c r="G512" s="4"/>
    </row>
    <row r="513" spans="1:7" ht="15" x14ac:dyDescent="0.25">
      <c r="A513" s="5"/>
      <c r="B513" s="6" t="s">
        <v>165</v>
      </c>
      <c r="C513" s="12">
        <v>316595260</v>
      </c>
      <c r="D513" s="13">
        <v>0.58667999999999998</v>
      </c>
      <c r="E513" s="12">
        <v>185739</v>
      </c>
      <c r="F513" s="12">
        <v>795766</v>
      </c>
      <c r="G513" s="12">
        <v>981505</v>
      </c>
    </row>
    <row r="514" spans="1:7" ht="15" x14ac:dyDescent="0.25">
      <c r="A514" s="5"/>
      <c r="B514" s="9" t="s">
        <v>166</v>
      </c>
      <c r="C514" s="10">
        <v>1577328495</v>
      </c>
      <c r="D514" s="11">
        <v>0.50439999999999996</v>
      </c>
      <c r="E514" s="10">
        <v>795608</v>
      </c>
      <c r="F514" s="10">
        <v>0</v>
      </c>
      <c r="G514" s="10">
        <v>795608</v>
      </c>
    </row>
    <row r="515" spans="1:7" ht="15" x14ac:dyDescent="0.25">
      <c r="A515" s="5"/>
      <c r="B515" s="6" t="s">
        <v>370</v>
      </c>
      <c r="C515" s="12">
        <v>31039215</v>
      </c>
      <c r="D515" s="13">
        <v>0.43591000000000002</v>
      </c>
      <c r="E515" s="12">
        <v>13530</v>
      </c>
      <c r="F515" s="12">
        <v>0</v>
      </c>
      <c r="G515" s="12">
        <v>13530</v>
      </c>
    </row>
    <row r="516" spans="1:7" ht="15" x14ac:dyDescent="0.25">
      <c r="A516" s="5"/>
      <c r="B516" s="9" t="s">
        <v>167</v>
      </c>
      <c r="C516" s="10">
        <v>115449350</v>
      </c>
      <c r="D516" s="11">
        <v>0.80444000000000004</v>
      </c>
      <c r="E516" s="10">
        <v>92872</v>
      </c>
      <c r="F516" s="10">
        <v>0</v>
      </c>
      <c r="G516" s="10">
        <v>92872</v>
      </c>
    </row>
    <row r="517" spans="1:7" ht="15" x14ac:dyDescent="0.25">
      <c r="A517" s="5"/>
      <c r="B517" s="6" t="s">
        <v>309</v>
      </c>
      <c r="C517" s="12">
        <v>171902608</v>
      </c>
      <c r="D517" s="13">
        <v>0.82489999999999997</v>
      </c>
      <c r="E517" s="12">
        <v>141803</v>
      </c>
      <c r="F517" s="12">
        <v>0</v>
      </c>
      <c r="G517" s="12">
        <v>141803</v>
      </c>
    </row>
    <row r="518" spans="1:7" ht="15" x14ac:dyDescent="0.25">
      <c r="A518" s="5"/>
      <c r="B518" s="9" t="s">
        <v>371</v>
      </c>
      <c r="C518" s="10">
        <v>310876916</v>
      </c>
      <c r="D518" s="11">
        <v>0.73375999999999997</v>
      </c>
      <c r="E518" s="10">
        <v>228110</v>
      </c>
      <c r="F518" s="10">
        <v>0</v>
      </c>
      <c r="G518" s="10">
        <v>228110</v>
      </c>
    </row>
    <row r="519" spans="1:7" ht="15" x14ac:dyDescent="0.25">
      <c r="A519" s="5"/>
      <c r="B519" s="6" t="s">
        <v>372</v>
      </c>
      <c r="C519" s="12">
        <v>494218946</v>
      </c>
      <c r="D519" s="13">
        <v>0.53027999999999997</v>
      </c>
      <c r="E519" s="12">
        <v>262074</v>
      </c>
      <c r="F519" s="12">
        <v>0</v>
      </c>
      <c r="G519" s="12">
        <v>262074</v>
      </c>
    </row>
    <row r="520" spans="1:7" ht="15" x14ac:dyDescent="0.25">
      <c r="A520" s="5"/>
      <c r="B520" s="9" t="s">
        <v>373</v>
      </c>
      <c r="C520" s="10">
        <v>188431992</v>
      </c>
      <c r="D520" s="11">
        <v>0.68328999999999995</v>
      </c>
      <c r="E520" s="10">
        <v>128754</v>
      </c>
      <c r="F520" s="10">
        <v>0</v>
      </c>
      <c r="G520" s="10">
        <v>128754</v>
      </c>
    </row>
    <row r="521" spans="1:7" ht="15" x14ac:dyDescent="0.25">
      <c r="A521" s="5"/>
      <c r="B521" s="6" t="s">
        <v>374</v>
      </c>
      <c r="C521" s="12">
        <v>282679138</v>
      </c>
      <c r="D521" s="13">
        <v>1.0168699999999999</v>
      </c>
      <c r="E521" s="12">
        <v>287447</v>
      </c>
      <c r="F521" s="12">
        <v>0</v>
      </c>
      <c r="G521" s="12">
        <v>287447</v>
      </c>
    </row>
    <row r="522" spans="1:7" ht="15" x14ac:dyDescent="0.25">
      <c r="A522" s="5"/>
      <c r="B522" s="9" t="s">
        <v>375</v>
      </c>
      <c r="C522" s="10">
        <v>62212900</v>
      </c>
      <c r="D522" s="11">
        <v>0.76331000000000004</v>
      </c>
      <c r="E522" s="10">
        <v>47488</v>
      </c>
      <c r="F522" s="10">
        <v>0</v>
      </c>
      <c r="G522" s="10">
        <v>47488</v>
      </c>
    </row>
    <row r="523" spans="1:7" ht="15" x14ac:dyDescent="0.25">
      <c r="A523" s="5"/>
      <c r="B523" s="6" t="s">
        <v>437</v>
      </c>
      <c r="C523" s="12">
        <v>48029425</v>
      </c>
      <c r="D523" s="13">
        <v>0.36799999999999999</v>
      </c>
      <c r="E523" s="12">
        <v>17675</v>
      </c>
      <c r="F523" s="12">
        <v>0</v>
      </c>
      <c r="G523" s="12">
        <v>17675</v>
      </c>
    </row>
    <row r="524" spans="1:7" ht="15" x14ac:dyDescent="0.25">
      <c r="A524" s="5"/>
      <c r="B524" s="9" t="s">
        <v>376</v>
      </c>
      <c r="C524" s="10">
        <v>3608330</v>
      </c>
      <c r="D524" s="11">
        <v>0.83145000000000002</v>
      </c>
      <c r="E524" s="10">
        <v>3000</v>
      </c>
      <c r="F524" s="10">
        <v>0</v>
      </c>
      <c r="G524" s="10">
        <v>3000</v>
      </c>
    </row>
    <row r="525" spans="1:7" ht="15" x14ac:dyDescent="0.25">
      <c r="A525" s="5"/>
      <c r="B525" s="6" t="s">
        <v>554</v>
      </c>
      <c r="C525" s="12">
        <v>199898332</v>
      </c>
      <c r="D525" s="13">
        <v>0.70786000000000004</v>
      </c>
      <c r="E525" s="12">
        <v>141500</v>
      </c>
      <c r="F525" s="12">
        <v>0</v>
      </c>
      <c r="G525" s="12">
        <v>141500</v>
      </c>
    </row>
    <row r="526" spans="1:7" ht="15" x14ac:dyDescent="0.25">
      <c r="A526" s="5"/>
      <c r="B526" s="9" t="s">
        <v>552</v>
      </c>
      <c r="C526" s="10">
        <v>2073363666</v>
      </c>
      <c r="D526" s="11">
        <v>7.2300000000000003E-3</v>
      </c>
      <c r="E526" s="10">
        <v>15000</v>
      </c>
      <c r="F526" s="10">
        <v>0</v>
      </c>
      <c r="G526" s="10">
        <v>15000</v>
      </c>
    </row>
    <row r="527" spans="1:7" ht="15" x14ac:dyDescent="0.25">
      <c r="A527" s="5"/>
      <c r="B527" s="6" t="s">
        <v>168</v>
      </c>
      <c r="C527" s="12">
        <v>115449350</v>
      </c>
      <c r="D527" s="13">
        <v>0.45221</v>
      </c>
      <c r="E527" s="12">
        <v>52207</v>
      </c>
      <c r="F527" s="12">
        <v>0</v>
      </c>
      <c r="G527" s="12">
        <v>52207</v>
      </c>
    </row>
    <row r="528" spans="1:7" ht="15" x14ac:dyDescent="0.25">
      <c r="A528" s="5"/>
      <c r="B528" s="9" t="s">
        <v>438</v>
      </c>
      <c r="C528" s="10">
        <v>37438470</v>
      </c>
      <c r="D528" s="11">
        <v>0.49998999999999999</v>
      </c>
      <c r="E528" s="10">
        <v>18719</v>
      </c>
      <c r="F528" s="10">
        <v>0</v>
      </c>
      <c r="G528" s="10">
        <v>18719</v>
      </c>
    </row>
    <row r="529" spans="1:7" ht="15" x14ac:dyDescent="0.25">
      <c r="A529" s="5"/>
      <c r="B529" s="6" t="s">
        <v>555</v>
      </c>
      <c r="C529" s="12">
        <v>92439557</v>
      </c>
      <c r="D529" s="13">
        <v>7.1400000000000005E-2</v>
      </c>
      <c r="E529" s="12">
        <v>6600</v>
      </c>
      <c r="F529" s="12">
        <v>0</v>
      </c>
      <c r="G529" s="12">
        <v>6600</v>
      </c>
    </row>
    <row r="530" spans="1:7" ht="15" x14ac:dyDescent="0.25">
      <c r="A530" s="5"/>
      <c r="B530" s="9" t="s">
        <v>556</v>
      </c>
      <c r="C530" s="10">
        <v>72848621</v>
      </c>
      <c r="D530" s="11">
        <v>9.7460000000000005E-2</v>
      </c>
      <c r="E530" s="10">
        <v>7100</v>
      </c>
      <c r="F530" s="10">
        <v>0</v>
      </c>
      <c r="G530" s="10">
        <v>7100</v>
      </c>
    </row>
    <row r="531" spans="1:7" ht="15" x14ac:dyDescent="0.25">
      <c r="A531" s="5"/>
      <c r="B531" s="6" t="s">
        <v>169</v>
      </c>
      <c r="C531" s="12">
        <v>484098324</v>
      </c>
      <c r="D531" s="13">
        <v>0.22928999999999999</v>
      </c>
      <c r="E531" s="12">
        <v>111000</v>
      </c>
      <c r="F531" s="12">
        <v>0</v>
      </c>
      <c r="G531" s="12">
        <v>111000</v>
      </c>
    </row>
    <row r="532" spans="1:7" ht="15" x14ac:dyDescent="0.25">
      <c r="A532" s="5"/>
      <c r="B532" s="9" t="s">
        <v>170</v>
      </c>
      <c r="C532" s="10">
        <v>123453872</v>
      </c>
      <c r="D532" s="11">
        <v>6.8070000000000006E-2</v>
      </c>
      <c r="E532" s="10">
        <v>8404</v>
      </c>
      <c r="F532" s="10">
        <v>0</v>
      </c>
      <c r="G532" s="10">
        <v>8404</v>
      </c>
    </row>
    <row r="533" spans="1:7" ht="15" x14ac:dyDescent="0.25">
      <c r="A533" s="5"/>
      <c r="B533" s="6" t="s">
        <v>171</v>
      </c>
      <c r="C533" s="12">
        <v>97154337</v>
      </c>
      <c r="D533" s="13">
        <v>9.7890000000000005E-2</v>
      </c>
      <c r="E533" s="12">
        <v>9510</v>
      </c>
      <c r="F533" s="12">
        <v>0</v>
      </c>
      <c r="G533" s="12">
        <v>9510</v>
      </c>
    </row>
    <row r="534" spans="1:7" ht="15" x14ac:dyDescent="0.25">
      <c r="A534" s="5"/>
      <c r="B534" s="9" t="s">
        <v>172</v>
      </c>
      <c r="C534" s="10">
        <v>50759610</v>
      </c>
      <c r="D534" s="11">
        <v>6.9269999999999998E-2</v>
      </c>
      <c r="E534" s="10">
        <v>3516</v>
      </c>
      <c r="F534" s="10">
        <v>0</v>
      </c>
      <c r="G534" s="10">
        <v>3516</v>
      </c>
    </row>
    <row r="535" spans="1:7" ht="15" x14ac:dyDescent="0.25">
      <c r="A535" s="5"/>
      <c r="B535" s="6" t="s">
        <v>173</v>
      </c>
      <c r="C535" s="12">
        <v>66248751</v>
      </c>
      <c r="D535" s="13">
        <v>8.1799999999999998E-2</v>
      </c>
      <c r="E535" s="12">
        <v>5419</v>
      </c>
      <c r="F535" s="12">
        <v>0</v>
      </c>
      <c r="G535" s="12">
        <v>5419</v>
      </c>
    </row>
    <row r="536" spans="1:7" ht="15" x14ac:dyDescent="0.25">
      <c r="A536" s="5"/>
      <c r="B536" s="9" t="s">
        <v>174</v>
      </c>
      <c r="C536" s="10">
        <v>151274717</v>
      </c>
      <c r="D536" s="11">
        <v>8.2500000000000004E-2</v>
      </c>
      <c r="E536" s="10">
        <v>12480</v>
      </c>
      <c r="F536" s="10">
        <v>35000</v>
      </c>
      <c r="G536" s="10">
        <v>47480</v>
      </c>
    </row>
    <row r="537" spans="1:7" ht="15" x14ac:dyDescent="0.25">
      <c r="A537" s="5"/>
      <c r="B537" s="20" t="s">
        <v>538</v>
      </c>
      <c r="C537" s="21"/>
      <c r="D537" s="22"/>
      <c r="E537" s="21"/>
      <c r="F537" s="21"/>
      <c r="G537" s="23">
        <f>SUM(G513:G536)</f>
        <v>3426321</v>
      </c>
    </row>
    <row r="538" spans="1:7" ht="13.5" x14ac:dyDescent="0.25">
      <c r="A538" s="5"/>
      <c r="B538" s="5"/>
      <c r="C538" s="5"/>
      <c r="D538" s="5"/>
      <c r="E538" s="5"/>
      <c r="F538" s="5"/>
      <c r="G538" s="19"/>
    </row>
    <row r="539" spans="1:7" ht="15" x14ac:dyDescent="0.25">
      <c r="A539" s="2" t="s">
        <v>175</v>
      </c>
      <c r="B539" s="3"/>
      <c r="C539" s="3"/>
      <c r="D539" s="3"/>
      <c r="E539" s="3"/>
      <c r="F539" s="3"/>
      <c r="G539" s="4"/>
    </row>
    <row r="540" spans="1:7" ht="15" x14ac:dyDescent="0.25">
      <c r="A540" s="5"/>
      <c r="B540" s="6" t="s">
        <v>71</v>
      </c>
      <c r="C540" s="12">
        <v>14606910132</v>
      </c>
      <c r="D540" s="13">
        <v>0.23402000000000001</v>
      </c>
      <c r="E540" s="12">
        <v>3418375</v>
      </c>
      <c r="F540" s="12">
        <v>0</v>
      </c>
      <c r="G540" s="12">
        <v>3418375</v>
      </c>
    </row>
    <row r="541" spans="1:7" ht="15" x14ac:dyDescent="0.25">
      <c r="A541" s="5"/>
      <c r="B541" s="9" t="s">
        <v>23</v>
      </c>
      <c r="C541" s="10">
        <v>11515688984</v>
      </c>
      <c r="D541" s="11">
        <v>0.21770999999999999</v>
      </c>
      <c r="E541" s="10">
        <v>2507023</v>
      </c>
      <c r="F541" s="10">
        <v>0</v>
      </c>
      <c r="G541" s="10">
        <v>2507023</v>
      </c>
    </row>
    <row r="542" spans="1:7" ht="15" x14ac:dyDescent="0.25">
      <c r="A542" s="5"/>
      <c r="B542" s="6" t="s">
        <v>24</v>
      </c>
      <c r="C542" s="12">
        <v>3091221148</v>
      </c>
      <c r="D542" s="13">
        <v>0.13320000000000001</v>
      </c>
      <c r="E542" s="12">
        <v>411765</v>
      </c>
      <c r="F542" s="12">
        <v>0</v>
      </c>
      <c r="G542" s="12">
        <v>411765</v>
      </c>
    </row>
    <row r="543" spans="1:7" ht="15" x14ac:dyDescent="0.25">
      <c r="A543" s="5"/>
      <c r="B543" s="9" t="s">
        <v>238</v>
      </c>
      <c r="C543" s="10">
        <v>862263986</v>
      </c>
      <c r="D543" s="11">
        <v>1.0382100000000001</v>
      </c>
      <c r="E543" s="10">
        <v>895215</v>
      </c>
      <c r="F543" s="10">
        <v>0</v>
      </c>
      <c r="G543" s="10">
        <v>895215</v>
      </c>
    </row>
    <row r="544" spans="1:7" ht="15" x14ac:dyDescent="0.25">
      <c r="A544" s="5"/>
      <c r="B544" s="6" t="s">
        <v>239</v>
      </c>
      <c r="C544" s="12">
        <v>1472556264</v>
      </c>
      <c r="D544" s="13">
        <v>1.37632</v>
      </c>
      <c r="E544" s="12">
        <v>2026711</v>
      </c>
      <c r="F544" s="12">
        <v>0</v>
      </c>
      <c r="G544" s="12">
        <v>2026711</v>
      </c>
    </row>
    <row r="545" spans="1:7" ht="15" x14ac:dyDescent="0.25">
      <c r="A545" s="5"/>
      <c r="B545" s="9" t="s">
        <v>557</v>
      </c>
      <c r="C545" s="10">
        <v>4707399920</v>
      </c>
      <c r="D545" s="11">
        <v>1.2849900000000001</v>
      </c>
      <c r="E545" s="10">
        <v>6048983</v>
      </c>
      <c r="F545" s="10">
        <v>0</v>
      </c>
      <c r="G545" s="10">
        <v>6048983</v>
      </c>
    </row>
    <row r="546" spans="1:7" ht="15" x14ac:dyDescent="0.25">
      <c r="A546" s="5"/>
      <c r="B546" s="6" t="s">
        <v>241</v>
      </c>
      <c r="C546" s="12">
        <v>807226541</v>
      </c>
      <c r="D546" s="13">
        <v>1.0324800000000001</v>
      </c>
      <c r="E546" s="12">
        <v>833445</v>
      </c>
      <c r="F546" s="12">
        <v>0</v>
      </c>
      <c r="G546" s="12">
        <v>833445</v>
      </c>
    </row>
    <row r="547" spans="1:7" ht="15" x14ac:dyDescent="0.25">
      <c r="A547" s="5"/>
      <c r="B547" s="9" t="s">
        <v>332</v>
      </c>
      <c r="C547" s="10">
        <v>210042489</v>
      </c>
      <c r="D547" s="11">
        <v>0.93862000000000001</v>
      </c>
      <c r="E547" s="10">
        <v>197150</v>
      </c>
      <c r="F547" s="10">
        <v>0</v>
      </c>
      <c r="G547" s="10">
        <v>197150</v>
      </c>
    </row>
    <row r="548" spans="1:7" ht="15" x14ac:dyDescent="0.25">
      <c r="A548" s="5"/>
      <c r="B548" s="6" t="s">
        <v>325</v>
      </c>
      <c r="C548" s="12">
        <v>276795995</v>
      </c>
      <c r="D548" s="13">
        <v>1.3882300000000001</v>
      </c>
      <c r="E548" s="12">
        <v>384257</v>
      </c>
      <c r="F548" s="12">
        <v>0</v>
      </c>
      <c r="G548" s="12">
        <v>384257</v>
      </c>
    </row>
    <row r="549" spans="1:7" ht="15" x14ac:dyDescent="0.25">
      <c r="A549" s="5"/>
      <c r="B549" s="9" t="s">
        <v>344</v>
      </c>
      <c r="C549" s="10">
        <v>521455222</v>
      </c>
      <c r="D549" s="11">
        <v>0.87080000000000002</v>
      </c>
      <c r="E549" s="10">
        <v>454082</v>
      </c>
      <c r="F549" s="10">
        <v>0</v>
      </c>
      <c r="G549" s="10">
        <v>454082</v>
      </c>
    </row>
    <row r="550" spans="1:7" ht="15" x14ac:dyDescent="0.25">
      <c r="A550" s="5"/>
      <c r="B550" s="6" t="s">
        <v>345</v>
      </c>
      <c r="C550" s="12">
        <v>274333251</v>
      </c>
      <c r="D550" s="13">
        <v>0.75</v>
      </c>
      <c r="E550" s="12">
        <v>205750</v>
      </c>
      <c r="F550" s="12">
        <v>0</v>
      </c>
      <c r="G550" s="12">
        <v>205750</v>
      </c>
    </row>
    <row r="551" spans="1:7" ht="15" x14ac:dyDescent="0.25">
      <c r="A551" s="5"/>
      <c r="B551" s="9" t="s">
        <v>366</v>
      </c>
      <c r="C551" s="10">
        <v>834055648</v>
      </c>
      <c r="D551" s="11">
        <v>0.91391</v>
      </c>
      <c r="E551" s="10">
        <v>762256</v>
      </c>
      <c r="F551" s="10">
        <v>0</v>
      </c>
      <c r="G551" s="10">
        <v>762256</v>
      </c>
    </row>
    <row r="552" spans="1:7" ht="15" x14ac:dyDescent="0.25">
      <c r="A552" s="5"/>
      <c r="B552" s="6" t="s">
        <v>176</v>
      </c>
      <c r="C552" s="12">
        <v>1227892376</v>
      </c>
      <c r="D552" s="13">
        <v>0.50409000000000004</v>
      </c>
      <c r="E552" s="12">
        <v>618965</v>
      </c>
      <c r="F552" s="12">
        <v>0</v>
      </c>
      <c r="G552" s="12">
        <v>618965</v>
      </c>
    </row>
    <row r="553" spans="1:7" ht="15" x14ac:dyDescent="0.25">
      <c r="A553" s="5"/>
      <c r="B553" s="9" t="s">
        <v>177</v>
      </c>
      <c r="C553" s="10">
        <v>3094659353</v>
      </c>
      <c r="D553" s="11">
        <v>0.10381</v>
      </c>
      <c r="E553" s="10">
        <v>321250</v>
      </c>
      <c r="F553" s="10">
        <v>0</v>
      </c>
      <c r="G553" s="10">
        <v>321250</v>
      </c>
    </row>
    <row r="554" spans="1:7" ht="15" x14ac:dyDescent="0.25">
      <c r="A554" s="5"/>
      <c r="B554" s="6" t="s">
        <v>178</v>
      </c>
      <c r="C554" s="12">
        <v>363361848</v>
      </c>
      <c r="D554" s="13">
        <v>0.13042000000000001</v>
      </c>
      <c r="E554" s="12">
        <v>47390</v>
      </c>
      <c r="F554" s="12">
        <v>0</v>
      </c>
      <c r="G554" s="12">
        <v>47390</v>
      </c>
    </row>
    <row r="555" spans="1:7" ht="15" x14ac:dyDescent="0.25">
      <c r="A555" s="5"/>
      <c r="B555" s="9" t="s">
        <v>179</v>
      </c>
      <c r="C555" s="10">
        <v>756500550</v>
      </c>
      <c r="D555" s="11">
        <v>0.13794000000000001</v>
      </c>
      <c r="E555" s="10">
        <v>104348</v>
      </c>
      <c r="F555" s="10">
        <v>0</v>
      </c>
      <c r="G555" s="10">
        <v>104348</v>
      </c>
    </row>
    <row r="556" spans="1:7" ht="15" x14ac:dyDescent="0.25">
      <c r="A556" s="5"/>
      <c r="B556" s="6" t="s">
        <v>180</v>
      </c>
      <c r="C556" s="12">
        <v>4366558779</v>
      </c>
      <c r="D556" s="13">
        <v>0.1976</v>
      </c>
      <c r="E556" s="12">
        <v>862852</v>
      </c>
      <c r="F556" s="12">
        <v>0</v>
      </c>
      <c r="G556" s="12">
        <v>862852</v>
      </c>
    </row>
    <row r="557" spans="1:7" ht="15" x14ac:dyDescent="0.25">
      <c r="A557" s="5"/>
      <c r="B557" s="9" t="s">
        <v>181</v>
      </c>
      <c r="C557" s="10">
        <v>1497097459</v>
      </c>
      <c r="D557" s="11">
        <v>9.9709999999999993E-2</v>
      </c>
      <c r="E557" s="10">
        <v>149272</v>
      </c>
      <c r="F557" s="10">
        <v>0</v>
      </c>
      <c r="G557" s="10">
        <v>149272</v>
      </c>
    </row>
    <row r="558" spans="1:7" ht="15" x14ac:dyDescent="0.25">
      <c r="A558" s="5"/>
      <c r="B558" s="6" t="s">
        <v>377</v>
      </c>
      <c r="C558" s="12">
        <v>871365521</v>
      </c>
      <c r="D558" s="13">
        <v>0.44990000000000002</v>
      </c>
      <c r="E558" s="12">
        <v>392027</v>
      </c>
      <c r="F558" s="12">
        <v>0</v>
      </c>
      <c r="G558" s="12">
        <v>392027</v>
      </c>
    </row>
    <row r="559" spans="1:7" ht="15" x14ac:dyDescent="0.25">
      <c r="A559" s="5"/>
      <c r="B559" s="9" t="s">
        <v>326</v>
      </c>
      <c r="C559" s="10">
        <v>1512525592</v>
      </c>
      <c r="D559" s="11">
        <v>0.39061000000000001</v>
      </c>
      <c r="E559" s="10">
        <v>590806</v>
      </c>
      <c r="F559" s="10">
        <v>0</v>
      </c>
      <c r="G559" s="10">
        <v>590806</v>
      </c>
    </row>
    <row r="560" spans="1:7" ht="15" x14ac:dyDescent="0.25">
      <c r="A560" s="5"/>
      <c r="B560" s="6" t="s">
        <v>558</v>
      </c>
      <c r="C560" s="12">
        <v>4797771492</v>
      </c>
      <c r="D560" s="13">
        <v>0.42143999999999998</v>
      </c>
      <c r="E560" s="12">
        <v>2021958</v>
      </c>
      <c r="F560" s="12">
        <v>0</v>
      </c>
      <c r="G560" s="12">
        <v>2021958</v>
      </c>
    </row>
    <row r="561" spans="1:7" ht="15" x14ac:dyDescent="0.25">
      <c r="A561" s="5"/>
      <c r="B561" s="9" t="s">
        <v>378</v>
      </c>
      <c r="C561" s="10">
        <v>815245571</v>
      </c>
      <c r="D561" s="11">
        <v>0.31381999999999999</v>
      </c>
      <c r="E561" s="10">
        <v>255839</v>
      </c>
      <c r="F561" s="10">
        <v>0</v>
      </c>
      <c r="G561" s="10">
        <v>255839</v>
      </c>
    </row>
    <row r="562" spans="1:7" ht="15" x14ac:dyDescent="0.25">
      <c r="A562" s="5"/>
      <c r="B562" s="6" t="s">
        <v>379</v>
      </c>
      <c r="C562" s="12">
        <v>3131967881</v>
      </c>
      <c r="D562" s="13">
        <v>0.28617999999999999</v>
      </c>
      <c r="E562" s="12">
        <v>896294</v>
      </c>
      <c r="F562" s="12">
        <v>0</v>
      </c>
      <c r="G562" s="12">
        <v>896294</v>
      </c>
    </row>
    <row r="563" spans="1:7" ht="15" x14ac:dyDescent="0.25">
      <c r="A563" s="5"/>
      <c r="B563" s="9" t="s">
        <v>381</v>
      </c>
      <c r="C563" s="10">
        <v>236276824</v>
      </c>
      <c r="D563" s="11">
        <v>0.34117999999999998</v>
      </c>
      <c r="E563" s="10">
        <v>80613</v>
      </c>
      <c r="F563" s="10">
        <v>0</v>
      </c>
      <c r="G563" s="10">
        <v>80613</v>
      </c>
    </row>
    <row r="564" spans="1:7" ht="15" x14ac:dyDescent="0.25">
      <c r="A564" s="5"/>
      <c r="B564" s="6" t="s">
        <v>382</v>
      </c>
      <c r="C564" s="12">
        <v>294546406</v>
      </c>
      <c r="D564" s="13">
        <v>0.42501</v>
      </c>
      <c r="E564" s="12">
        <v>125184</v>
      </c>
      <c r="F564" s="12">
        <v>0</v>
      </c>
      <c r="G564" s="12">
        <v>125184</v>
      </c>
    </row>
    <row r="565" spans="1:7" ht="15" x14ac:dyDescent="0.25">
      <c r="A565" s="5"/>
      <c r="B565" s="9" t="s">
        <v>383</v>
      </c>
      <c r="C565" s="10">
        <v>277784591</v>
      </c>
      <c r="D565" s="11">
        <v>0.22883000000000001</v>
      </c>
      <c r="E565" s="10">
        <v>63567</v>
      </c>
      <c r="F565" s="10">
        <v>0</v>
      </c>
      <c r="G565" s="10">
        <v>63567</v>
      </c>
    </row>
    <row r="566" spans="1:7" ht="15" x14ac:dyDescent="0.25">
      <c r="A566" s="5"/>
      <c r="B566" s="6" t="s">
        <v>384</v>
      </c>
      <c r="C566" s="12">
        <v>841460653</v>
      </c>
      <c r="D566" s="13">
        <v>0.21373</v>
      </c>
      <c r="E566" s="12">
        <v>179843</v>
      </c>
      <c r="F566" s="12">
        <v>0</v>
      </c>
      <c r="G566" s="12">
        <v>179843</v>
      </c>
    </row>
    <row r="567" spans="1:7" ht="15" x14ac:dyDescent="0.25">
      <c r="A567" s="5"/>
      <c r="B567" s="9" t="s">
        <v>182</v>
      </c>
      <c r="C567" s="10">
        <v>1227892376</v>
      </c>
      <c r="D567" s="11">
        <v>0.47010999999999997</v>
      </c>
      <c r="E567" s="10">
        <v>577239</v>
      </c>
      <c r="F567" s="10">
        <v>0</v>
      </c>
      <c r="G567" s="10">
        <v>577239</v>
      </c>
    </row>
    <row r="568" spans="1:7" ht="15" x14ac:dyDescent="0.25">
      <c r="A568" s="5"/>
      <c r="B568" s="6" t="s">
        <v>28</v>
      </c>
      <c r="C568" s="12">
        <v>2301726166</v>
      </c>
      <c r="D568" s="13">
        <v>1.09E-2</v>
      </c>
      <c r="E568" s="12">
        <v>25089</v>
      </c>
      <c r="F568" s="12">
        <v>0</v>
      </c>
      <c r="G568" s="12">
        <v>25089</v>
      </c>
    </row>
    <row r="569" spans="1:7" ht="15" x14ac:dyDescent="0.25">
      <c r="A569" s="5"/>
      <c r="B569" s="9" t="s">
        <v>385</v>
      </c>
      <c r="C569" s="10">
        <v>3108297356</v>
      </c>
      <c r="D569" s="11">
        <v>0.81271000000000004</v>
      </c>
      <c r="E569" s="10">
        <v>2492198</v>
      </c>
      <c r="F569" s="10">
        <v>552820</v>
      </c>
      <c r="G569" s="10">
        <v>3045018</v>
      </c>
    </row>
    <row r="570" spans="1:7" ht="15" x14ac:dyDescent="0.25">
      <c r="A570" s="5"/>
      <c r="B570" s="20" t="s">
        <v>538</v>
      </c>
      <c r="C570" s="21"/>
      <c r="D570" s="22"/>
      <c r="E570" s="21"/>
      <c r="F570" s="21"/>
      <c r="G570" s="23">
        <f>SUM(G540:G569)</f>
        <v>28502566</v>
      </c>
    </row>
    <row r="571" spans="1:7" ht="13.5" x14ac:dyDescent="0.25">
      <c r="A571" s="5"/>
      <c r="B571" s="5"/>
      <c r="C571" s="5"/>
      <c r="D571" s="5"/>
      <c r="E571" s="5"/>
      <c r="F571" s="5"/>
      <c r="G571" s="19"/>
    </row>
    <row r="572" spans="1:7" ht="15" x14ac:dyDescent="0.25">
      <c r="A572" s="2" t="s">
        <v>183</v>
      </c>
      <c r="B572" s="3"/>
      <c r="C572" s="3"/>
      <c r="D572" s="3"/>
      <c r="E572" s="3"/>
      <c r="F572" s="3"/>
      <c r="G572" s="4"/>
    </row>
    <row r="573" spans="1:7" ht="15" x14ac:dyDescent="0.25">
      <c r="A573" s="5"/>
      <c r="B573" s="6" t="s">
        <v>318</v>
      </c>
      <c r="C573" s="12">
        <v>6431170313</v>
      </c>
      <c r="D573" s="13">
        <v>0.26461000000000001</v>
      </c>
      <c r="E573" s="12">
        <v>1701773</v>
      </c>
      <c r="F573" s="12">
        <v>0</v>
      </c>
      <c r="G573" s="12">
        <v>1701773</v>
      </c>
    </row>
    <row r="574" spans="1:7" ht="15" x14ac:dyDescent="0.25">
      <c r="A574" s="5"/>
      <c r="B574" s="9" t="s">
        <v>57</v>
      </c>
      <c r="C574" s="10">
        <v>3729362477</v>
      </c>
      <c r="D574" s="11">
        <v>0.46938000000000002</v>
      </c>
      <c r="E574" s="10">
        <v>1750474</v>
      </c>
      <c r="F574" s="10">
        <v>1044309</v>
      </c>
      <c r="G574" s="10">
        <v>2794783</v>
      </c>
    </row>
    <row r="575" spans="1:7" ht="15" x14ac:dyDescent="0.25">
      <c r="A575" s="5"/>
      <c r="B575" s="6" t="s">
        <v>65</v>
      </c>
      <c r="C575" s="12">
        <v>1515757455</v>
      </c>
      <c r="D575" s="13">
        <v>0.47915999999999997</v>
      </c>
      <c r="E575" s="12">
        <v>726283</v>
      </c>
      <c r="F575" s="12">
        <v>364454</v>
      </c>
      <c r="G575" s="12">
        <v>1090737</v>
      </c>
    </row>
    <row r="576" spans="1:7" ht="15" x14ac:dyDescent="0.25">
      <c r="A576" s="5"/>
      <c r="B576" s="9" t="s">
        <v>66</v>
      </c>
      <c r="C576" s="10">
        <v>1518165458</v>
      </c>
      <c r="D576" s="11">
        <v>0.35327999999999998</v>
      </c>
      <c r="E576" s="10">
        <v>536338</v>
      </c>
      <c r="F576" s="10">
        <v>775879</v>
      </c>
      <c r="G576" s="10">
        <v>1312217</v>
      </c>
    </row>
    <row r="577" spans="1:7" ht="15" x14ac:dyDescent="0.25">
      <c r="A577" s="5"/>
      <c r="B577" s="6" t="s">
        <v>327</v>
      </c>
      <c r="C577" s="12">
        <v>133207045</v>
      </c>
      <c r="D577" s="13">
        <v>0.43591000000000002</v>
      </c>
      <c r="E577" s="12">
        <v>58066</v>
      </c>
      <c r="F577" s="12">
        <v>0</v>
      </c>
      <c r="G577" s="12">
        <v>58066</v>
      </c>
    </row>
    <row r="578" spans="1:7" ht="15" x14ac:dyDescent="0.25">
      <c r="A578" s="5"/>
      <c r="B578" s="9" t="s">
        <v>236</v>
      </c>
      <c r="C578" s="10">
        <v>395823113</v>
      </c>
      <c r="D578" s="11">
        <v>0.24379999999999999</v>
      </c>
      <c r="E578" s="10">
        <v>96500</v>
      </c>
      <c r="F578" s="10">
        <v>0</v>
      </c>
      <c r="G578" s="10">
        <v>96500</v>
      </c>
    </row>
    <row r="579" spans="1:7" ht="15" x14ac:dyDescent="0.25">
      <c r="A579" s="5"/>
      <c r="B579" s="6" t="s">
        <v>237</v>
      </c>
      <c r="C579" s="12">
        <v>18275397</v>
      </c>
      <c r="D579" s="13">
        <v>0.55215000000000003</v>
      </c>
      <c r="E579" s="12">
        <v>10091</v>
      </c>
      <c r="F579" s="12">
        <v>0</v>
      </c>
      <c r="G579" s="12">
        <v>10091</v>
      </c>
    </row>
    <row r="580" spans="1:7" ht="15" x14ac:dyDescent="0.25">
      <c r="A580" s="5"/>
      <c r="B580" s="9" t="s">
        <v>238</v>
      </c>
      <c r="C580" s="10">
        <v>586644898</v>
      </c>
      <c r="D580" s="11">
        <v>0.39330999999999999</v>
      </c>
      <c r="E580" s="10">
        <v>230731</v>
      </c>
      <c r="F580" s="10">
        <v>0</v>
      </c>
      <c r="G580" s="10">
        <v>230731</v>
      </c>
    </row>
    <row r="581" spans="1:7" ht="15" x14ac:dyDescent="0.25">
      <c r="A581" s="5"/>
      <c r="B581" s="6" t="s">
        <v>239</v>
      </c>
      <c r="C581" s="12">
        <v>313948267</v>
      </c>
      <c r="D581" s="13">
        <v>0.48964000000000002</v>
      </c>
      <c r="E581" s="12">
        <v>153723</v>
      </c>
      <c r="F581" s="12">
        <v>0</v>
      </c>
      <c r="G581" s="12">
        <v>153723</v>
      </c>
    </row>
    <row r="582" spans="1:7" ht="15" x14ac:dyDescent="0.25">
      <c r="A582" s="5"/>
      <c r="B582" s="9" t="s">
        <v>241</v>
      </c>
      <c r="C582" s="10">
        <v>2452941595</v>
      </c>
      <c r="D582" s="11">
        <v>0.53712000000000004</v>
      </c>
      <c r="E582" s="10">
        <v>1317528</v>
      </c>
      <c r="F582" s="10">
        <v>0</v>
      </c>
      <c r="G582" s="10">
        <v>1317528</v>
      </c>
    </row>
    <row r="583" spans="1:7" ht="15" x14ac:dyDescent="0.25">
      <c r="A583" s="5"/>
      <c r="B583" s="6" t="s">
        <v>319</v>
      </c>
      <c r="C583" s="12">
        <v>100289566</v>
      </c>
      <c r="D583" s="13">
        <v>0.36997000000000002</v>
      </c>
      <c r="E583" s="12">
        <v>37105</v>
      </c>
      <c r="F583" s="12">
        <v>0</v>
      </c>
      <c r="G583" s="12">
        <v>37105</v>
      </c>
    </row>
    <row r="584" spans="1:7" ht="15" x14ac:dyDescent="0.25">
      <c r="A584" s="5"/>
      <c r="B584" s="9" t="s">
        <v>320</v>
      </c>
      <c r="C584" s="10">
        <v>36811434</v>
      </c>
      <c r="D584" s="11">
        <v>0.87905</v>
      </c>
      <c r="E584" s="10">
        <v>32359</v>
      </c>
      <c r="F584" s="10">
        <v>0</v>
      </c>
      <c r="G584" s="10">
        <v>32359</v>
      </c>
    </row>
    <row r="585" spans="1:7" ht="15" x14ac:dyDescent="0.25">
      <c r="A585" s="5"/>
      <c r="B585" s="6" t="s">
        <v>321</v>
      </c>
      <c r="C585" s="12">
        <v>45713946</v>
      </c>
      <c r="D585" s="13">
        <v>0.45215</v>
      </c>
      <c r="E585" s="12">
        <v>20670</v>
      </c>
      <c r="F585" s="12">
        <v>0</v>
      </c>
      <c r="G585" s="12">
        <v>20670</v>
      </c>
    </row>
    <row r="586" spans="1:7" ht="15" x14ac:dyDescent="0.25">
      <c r="A586" s="5"/>
      <c r="B586" s="9" t="s">
        <v>324</v>
      </c>
      <c r="C586" s="10">
        <v>61281522</v>
      </c>
      <c r="D586" s="11">
        <v>0.46405999999999997</v>
      </c>
      <c r="E586" s="10">
        <v>28438</v>
      </c>
      <c r="F586" s="10">
        <v>0</v>
      </c>
      <c r="G586" s="10">
        <v>28438</v>
      </c>
    </row>
    <row r="587" spans="1:7" ht="15" x14ac:dyDescent="0.25">
      <c r="A587" s="5"/>
      <c r="B587" s="6" t="s">
        <v>331</v>
      </c>
      <c r="C587" s="12">
        <v>63239129</v>
      </c>
      <c r="D587" s="13">
        <v>0.71238000000000001</v>
      </c>
      <c r="E587" s="12">
        <v>45050</v>
      </c>
      <c r="F587" s="12">
        <v>0</v>
      </c>
      <c r="G587" s="12">
        <v>45050</v>
      </c>
    </row>
    <row r="588" spans="1:7" ht="15" x14ac:dyDescent="0.25">
      <c r="A588" s="5"/>
      <c r="B588" s="9" t="s">
        <v>332</v>
      </c>
      <c r="C588" s="10">
        <v>27613605</v>
      </c>
      <c r="D588" s="11">
        <v>0.52405999999999997</v>
      </c>
      <c r="E588" s="10">
        <v>14471</v>
      </c>
      <c r="F588" s="10">
        <v>0</v>
      </c>
      <c r="G588" s="10">
        <v>14471</v>
      </c>
    </row>
    <row r="589" spans="1:7" ht="15" x14ac:dyDescent="0.25">
      <c r="A589" s="5"/>
      <c r="B589" s="6" t="s">
        <v>325</v>
      </c>
      <c r="C589" s="12">
        <v>5870917</v>
      </c>
      <c r="D589" s="13">
        <v>0.59453999999999996</v>
      </c>
      <c r="E589" s="12">
        <v>3490</v>
      </c>
      <c r="F589" s="12">
        <v>0</v>
      </c>
      <c r="G589" s="12">
        <v>3490</v>
      </c>
    </row>
    <row r="590" spans="1:7" ht="15" x14ac:dyDescent="0.25">
      <c r="A590" s="5"/>
      <c r="B590" s="9" t="s">
        <v>330</v>
      </c>
      <c r="C590" s="10">
        <v>4065500</v>
      </c>
      <c r="D590" s="11">
        <v>0.71135000000000004</v>
      </c>
      <c r="E590" s="10">
        <v>2892</v>
      </c>
      <c r="F590" s="10">
        <v>0</v>
      </c>
      <c r="G590" s="10">
        <v>2892</v>
      </c>
    </row>
    <row r="591" spans="1:7" ht="15" x14ac:dyDescent="0.25">
      <c r="A591" s="5"/>
      <c r="B591" s="6" t="s">
        <v>386</v>
      </c>
      <c r="C591" s="12">
        <v>621306343</v>
      </c>
      <c r="D591" s="13">
        <v>0.51500000000000001</v>
      </c>
      <c r="E591" s="12">
        <v>319970</v>
      </c>
      <c r="F591" s="12">
        <v>80738</v>
      </c>
      <c r="G591" s="12">
        <v>400708</v>
      </c>
    </row>
    <row r="592" spans="1:7" ht="15" x14ac:dyDescent="0.25">
      <c r="A592" s="5"/>
      <c r="B592" s="9" t="s">
        <v>344</v>
      </c>
      <c r="C592" s="10">
        <v>91550587</v>
      </c>
      <c r="D592" s="11">
        <v>0.76612000000000002</v>
      </c>
      <c r="E592" s="10">
        <v>70139</v>
      </c>
      <c r="F592" s="10">
        <v>0</v>
      </c>
      <c r="G592" s="10">
        <v>70139</v>
      </c>
    </row>
    <row r="593" spans="1:7" ht="15" x14ac:dyDescent="0.25">
      <c r="A593" s="5"/>
      <c r="B593" s="6" t="s">
        <v>184</v>
      </c>
      <c r="C593" s="12">
        <v>193873203</v>
      </c>
      <c r="D593" s="13">
        <v>0.29274</v>
      </c>
      <c r="E593" s="12">
        <v>56755</v>
      </c>
      <c r="F593" s="12">
        <v>0</v>
      </c>
      <c r="G593" s="12">
        <v>56755</v>
      </c>
    </row>
    <row r="594" spans="1:7" ht="15" x14ac:dyDescent="0.25">
      <c r="A594" s="5"/>
      <c r="B594" s="9" t="s">
        <v>185</v>
      </c>
      <c r="C594" s="10">
        <v>223725915</v>
      </c>
      <c r="D594" s="11">
        <v>0.5</v>
      </c>
      <c r="E594" s="10">
        <v>111863</v>
      </c>
      <c r="F594" s="10">
        <v>0</v>
      </c>
      <c r="G594" s="10">
        <v>111863</v>
      </c>
    </row>
    <row r="595" spans="1:7" ht="15" x14ac:dyDescent="0.25">
      <c r="A595" s="5"/>
      <c r="B595" s="6" t="s">
        <v>186</v>
      </c>
      <c r="C595" s="12">
        <v>2307250981</v>
      </c>
      <c r="D595" s="13">
        <v>0.5</v>
      </c>
      <c r="E595" s="12">
        <v>1153625</v>
      </c>
      <c r="F595" s="12">
        <v>0</v>
      </c>
      <c r="G595" s="12">
        <v>1153625</v>
      </c>
    </row>
    <row r="596" spans="1:7" ht="15" x14ac:dyDescent="0.25">
      <c r="A596" s="5"/>
      <c r="B596" s="9" t="s">
        <v>187</v>
      </c>
      <c r="C596" s="10">
        <v>225262452</v>
      </c>
      <c r="D596" s="11">
        <v>0.38261000000000001</v>
      </c>
      <c r="E596" s="10">
        <v>86188</v>
      </c>
      <c r="F596" s="10">
        <v>0</v>
      </c>
      <c r="G596" s="10">
        <v>86188</v>
      </c>
    </row>
    <row r="597" spans="1:7" ht="15" x14ac:dyDescent="0.25">
      <c r="A597" s="5"/>
      <c r="B597" s="6" t="s">
        <v>188</v>
      </c>
      <c r="C597" s="12">
        <v>89230679</v>
      </c>
      <c r="D597" s="13">
        <v>0.37781999999999999</v>
      </c>
      <c r="E597" s="12">
        <v>33713</v>
      </c>
      <c r="F597" s="12">
        <v>0</v>
      </c>
      <c r="G597" s="12">
        <v>33713</v>
      </c>
    </row>
    <row r="598" spans="1:7" ht="15" x14ac:dyDescent="0.25">
      <c r="A598" s="5"/>
      <c r="B598" s="9" t="s">
        <v>78</v>
      </c>
      <c r="C598" s="10">
        <v>620839306</v>
      </c>
      <c r="D598" s="11">
        <v>0.36763000000000001</v>
      </c>
      <c r="E598" s="10">
        <v>228238</v>
      </c>
      <c r="F598" s="10">
        <v>0</v>
      </c>
      <c r="G598" s="10">
        <v>228238</v>
      </c>
    </row>
    <row r="599" spans="1:7" ht="15" x14ac:dyDescent="0.25">
      <c r="A599" s="5"/>
      <c r="B599" s="6" t="s">
        <v>559</v>
      </c>
      <c r="C599" s="12">
        <v>4065500</v>
      </c>
      <c r="D599" s="13">
        <v>0.5</v>
      </c>
      <c r="E599" s="12">
        <v>2033</v>
      </c>
      <c r="F599" s="12">
        <v>0</v>
      </c>
      <c r="G599" s="12">
        <v>2033</v>
      </c>
    </row>
    <row r="600" spans="1:7" ht="15" x14ac:dyDescent="0.25">
      <c r="A600" s="5"/>
      <c r="B600" s="9" t="s">
        <v>189</v>
      </c>
      <c r="C600" s="10">
        <v>794272404</v>
      </c>
      <c r="D600" s="11">
        <v>0.29035</v>
      </c>
      <c r="E600" s="10">
        <v>230617</v>
      </c>
      <c r="F600" s="10">
        <v>0</v>
      </c>
      <c r="G600" s="10">
        <v>230617</v>
      </c>
    </row>
    <row r="601" spans="1:7" ht="15" x14ac:dyDescent="0.25">
      <c r="A601" s="5"/>
      <c r="B601" s="6" t="s">
        <v>475</v>
      </c>
      <c r="C601" s="12">
        <v>147424908</v>
      </c>
      <c r="D601" s="13">
        <v>0.40550999999999998</v>
      </c>
      <c r="E601" s="12">
        <v>59783</v>
      </c>
      <c r="F601" s="12">
        <v>0</v>
      </c>
      <c r="G601" s="12">
        <v>59783</v>
      </c>
    </row>
    <row r="602" spans="1:7" ht="15" x14ac:dyDescent="0.25">
      <c r="A602" s="5"/>
      <c r="B602" s="9" t="s">
        <v>476</v>
      </c>
      <c r="C602" s="10">
        <v>560824076</v>
      </c>
      <c r="D602" s="11">
        <v>0.40503</v>
      </c>
      <c r="E602" s="10">
        <v>227152</v>
      </c>
      <c r="F602" s="10">
        <v>0</v>
      </c>
      <c r="G602" s="10">
        <v>227152</v>
      </c>
    </row>
    <row r="603" spans="1:7" ht="15" x14ac:dyDescent="0.25">
      <c r="A603" s="5"/>
      <c r="B603" s="6" t="s">
        <v>477</v>
      </c>
      <c r="C603" s="12">
        <v>569847762</v>
      </c>
      <c r="D603" s="13">
        <v>0.14674000000000001</v>
      </c>
      <c r="E603" s="12">
        <v>83622</v>
      </c>
      <c r="F603" s="12">
        <v>0</v>
      </c>
      <c r="G603" s="12">
        <v>83622</v>
      </c>
    </row>
    <row r="604" spans="1:7" ht="15" x14ac:dyDescent="0.25">
      <c r="A604" s="5"/>
      <c r="B604" s="9" t="s">
        <v>28</v>
      </c>
      <c r="C604" s="10">
        <v>1730103279</v>
      </c>
      <c r="D604" s="11">
        <v>1.225E-2</v>
      </c>
      <c r="E604" s="10">
        <v>21185</v>
      </c>
      <c r="F604" s="10">
        <v>0</v>
      </c>
      <c r="G604" s="10">
        <v>21185</v>
      </c>
    </row>
    <row r="605" spans="1:7" ht="15" x14ac:dyDescent="0.25">
      <c r="A605" s="5"/>
      <c r="B605" s="6" t="s">
        <v>29</v>
      </c>
      <c r="C605" s="12">
        <v>866011986</v>
      </c>
      <c r="D605" s="13">
        <v>4.1029999999999997E-2</v>
      </c>
      <c r="E605" s="12">
        <v>35531</v>
      </c>
      <c r="F605" s="12">
        <v>0</v>
      </c>
      <c r="G605" s="12">
        <v>35531</v>
      </c>
    </row>
    <row r="606" spans="1:7" ht="15" x14ac:dyDescent="0.25">
      <c r="A606" s="5"/>
      <c r="B606" s="9" t="s">
        <v>30</v>
      </c>
      <c r="C606" s="10">
        <v>220777620</v>
      </c>
      <c r="D606" s="11">
        <v>5.9819999999999998E-2</v>
      </c>
      <c r="E606" s="10">
        <v>13207</v>
      </c>
      <c r="F606" s="10">
        <v>0</v>
      </c>
      <c r="G606" s="10">
        <v>13207</v>
      </c>
    </row>
    <row r="607" spans="1:7" ht="15" x14ac:dyDescent="0.25">
      <c r="A607" s="5"/>
      <c r="B607" s="6" t="s">
        <v>31</v>
      </c>
      <c r="C607" s="12">
        <v>588252441</v>
      </c>
      <c r="D607" s="13">
        <v>8.3479999999999999E-2</v>
      </c>
      <c r="E607" s="12">
        <v>49110</v>
      </c>
      <c r="F607" s="12">
        <v>0</v>
      </c>
      <c r="G607" s="12">
        <v>49110</v>
      </c>
    </row>
    <row r="608" spans="1:7" ht="15" x14ac:dyDescent="0.25">
      <c r="A608" s="5"/>
      <c r="B608" s="2" t="s">
        <v>538</v>
      </c>
      <c r="C608" s="14"/>
      <c r="D608" s="15"/>
      <c r="E608" s="14"/>
      <c r="F608" s="14"/>
      <c r="G608" s="16">
        <f>SUM(G573:G607)</f>
        <v>11814093</v>
      </c>
    </row>
    <row r="609" spans="1:7" ht="13.5" x14ac:dyDescent="0.25">
      <c r="A609" s="5"/>
      <c r="B609" s="5"/>
      <c r="C609" s="5"/>
      <c r="D609" s="5"/>
      <c r="E609" s="5"/>
      <c r="F609" s="5"/>
      <c r="G609" s="19"/>
    </row>
    <row r="610" spans="1:7" ht="15" x14ac:dyDescent="0.25">
      <c r="A610" s="2" t="s">
        <v>190</v>
      </c>
      <c r="B610" s="3"/>
      <c r="C610" s="3"/>
      <c r="D610" s="3"/>
      <c r="E610" s="3"/>
      <c r="F610" s="3"/>
      <c r="G610" s="4"/>
    </row>
    <row r="611" spans="1:7" ht="15" x14ac:dyDescent="0.25">
      <c r="A611" s="5"/>
      <c r="B611" s="6" t="s">
        <v>71</v>
      </c>
      <c r="C611" s="12">
        <v>5706933986</v>
      </c>
      <c r="D611" s="13">
        <v>0.23402000000000001</v>
      </c>
      <c r="E611" s="12">
        <v>1335560</v>
      </c>
      <c r="F611" s="12">
        <v>0</v>
      </c>
      <c r="G611" s="12">
        <v>1335560</v>
      </c>
    </row>
    <row r="612" spans="1:7" ht="15" x14ac:dyDescent="0.25">
      <c r="A612" s="5"/>
      <c r="B612" s="9" t="s">
        <v>24</v>
      </c>
      <c r="C612" s="10">
        <v>1575563503</v>
      </c>
      <c r="D612" s="11">
        <v>0.35749999999999998</v>
      </c>
      <c r="E612" s="10">
        <v>563270</v>
      </c>
      <c r="F612" s="10">
        <v>0</v>
      </c>
      <c r="G612" s="10">
        <v>563270</v>
      </c>
    </row>
    <row r="613" spans="1:7" ht="15" x14ac:dyDescent="0.25">
      <c r="A613" s="5"/>
      <c r="B613" s="6" t="s">
        <v>191</v>
      </c>
      <c r="C613" s="12">
        <v>4131370483</v>
      </c>
      <c r="D613" s="13">
        <v>0.32041999999999998</v>
      </c>
      <c r="E613" s="12">
        <v>1323790</v>
      </c>
      <c r="F613" s="12">
        <v>566441</v>
      </c>
      <c r="G613" s="12">
        <v>1890231</v>
      </c>
    </row>
    <row r="614" spans="1:7" ht="15" x14ac:dyDescent="0.25">
      <c r="A614" s="5"/>
      <c r="B614" s="9" t="s">
        <v>236</v>
      </c>
      <c r="C614" s="10">
        <v>2816906999</v>
      </c>
      <c r="D614" s="11">
        <v>0.85075000000000001</v>
      </c>
      <c r="E614" s="10">
        <v>2396478</v>
      </c>
      <c r="F614" s="10">
        <v>0</v>
      </c>
      <c r="G614" s="10">
        <v>2396478</v>
      </c>
    </row>
    <row r="615" spans="1:7" ht="15" x14ac:dyDescent="0.25">
      <c r="A615" s="5"/>
      <c r="B615" s="6" t="s">
        <v>237</v>
      </c>
      <c r="C615" s="12">
        <v>201034327</v>
      </c>
      <c r="D615" s="13">
        <v>0.36188999999999999</v>
      </c>
      <c r="E615" s="12">
        <v>72753</v>
      </c>
      <c r="F615" s="12">
        <v>0</v>
      </c>
      <c r="G615" s="12">
        <v>72753</v>
      </c>
    </row>
    <row r="616" spans="1:7" ht="15" x14ac:dyDescent="0.25">
      <c r="A616" s="5"/>
      <c r="B616" s="9" t="s">
        <v>238</v>
      </c>
      <c r="C616" s="10">
        <v>520901078</v>
      </c>
      <c r="D616" s="11">
        <v>0.43035000000000001</v>
      </c>
      <c r="E616" s="10">
        <v>224172</v>
      </c>
      <c r="F616" s="10">
        <v>0</v>
      </c>
      <c r="G616" s="10">
        <v>224172</v>
      </c>
    </row>
    <row r="617" spans="1:7" ht="15" x14ac:dyDescent="0.25">
      <c r="A617" s="5"/>
      <c r="B617" s="6" t="s">
        <v>239</v>
      </c>
      <c r="C617" s="12">
        <v>229340532</v>
      </c>
      <c r="D617" s="13">
        <v>0.38614999999999999</v>
      </c>
      <c r="E617" s="12">
        <v>88559</v>
      </c>
      <c r="F617" s="12">
        <v>0</v>
      </c>
      <c r="G617" s="12">
        <v>88559</v>
      </c>
    </row>
    <row r="618" spans="1:7" ht="15" x14ac:dyDescent="0.25">
      <c r="A618" s="5"/>
      <c r="B618" s="9" t="s">
        <v>241</v>
      </c>
      <c r="C618" s="10">
        <v>126641060</v>
      </c>
      <c r="D618" s="11">
        <v>0.26828999999999997</v>
      </c>
      <c r="E618" s="10">
        <v>33976</v>
      </c>
      <c r="F618" s="10">
        <v>0</v>
      </c>
      <c r="G618" s="10">
        <v>33976</v>
      </c>
    </row>
    <row r="619" spans="1:7" ht="15" x14ac:dyDescent="0.25">
      <c r="A619" s="5"/>
      <c r="B619" s="6" t="s">
        <v>319</v>
      </c>
      <c r="C619" s="12">
        <v>28468281</v>
      </c>
      <c r="D619" s="13">
        <v>0.31796999999999997</v>
      </c>
      <c r="E619" s="12">
        <v>9052</v>
      </c>
      <c r="F619" s="12">
        <v>0</v>
      </c>
      <c r="G619" s="12">
        <v>9052</v>
      </c>
    </row>
    <row r="620" spans="1:7" ht="15" x14ac:dyDescent="0.25">
      <c r="A620" s="5"/>
      <c r="B620" s="9" t="s">
        <v>320</v>
      </c>
      <c r="C620" s="10">
        <v>45707253</v>
      </c>
      <c r="D620" s="11">
        <v>0.30721999999999999</v>
      </c>
      <c r="E620" s="10">
        <v>14042</v>
      </c>
      <c r="F620" s="10">
        <v>0</v>
      </c>
      <c r="G620" s="10">
        <v>14042</v>
      </c>
    </row>
    <row r="621" spans="1:7" ht="15" x14ac:dyDescent="0.25">
      <c r="A621" s="5"/>
      <c r="B621" s="6" t="s">
        <v>560</v>
      </c>
      <c r="C621" s="12">
        <v>13079259</v>
      </c>
      <c r="D621" s="13">
        <v>0.62387000000000004</v>
      </c>
      <c r="E621" s="12">
        <v>8160</v>
      </c>
      <c r="F621" s="12">
        <v>0</v>
      </c>
      <c r="G621" s="12">
        <v>8160</v>
      </c>
    </row>
    <row r="622" spans="1:7" ht="15" x14ac:dyDescent="0.25">
      <c r="A622" s="5"/>
      <c r="B622" s="9" t="s">
        <v>192</v>
      </c>
      <c r="C622" s="10">
        <v>1586766836</v>
      </c>
      <c r="D622" s="11">
        <v>0.21132999999999999</v>
      </c>
      <c r="E622" s="10">
        <v>335324</v>
      </c>
      <c r="F622" s="10">
        <v>0</v>
      </c>
      <c r="G622" s="10">
        <v>335324</v>
      </c>
    </row>
    <row r="623" spans="1:7" ht="15" x14ac:dyDescent="0.25">
      <c r="A623" s="5"/>
      <c r="B623" s="6" t="s">
        <v>193</v>
      </c>
      <c r="C623" s="12">
        <v>1223269380</v>
      </c>
      <c r="D623" s="13">
        <v>0.16728000000000001</v>
      </c>
      <c r="E623" s="12">
        <v>204627</v>
      </c>
      <c r="F623" s="12">
        <v>0</v>
      </c>
      <c r="G623" s="12">
        <v>204627</v>
      </c>
    </row>
    <row r="624" spans="1:7" ht="15" x14ac:dyDescent="0.25">
      <c r="A624" s="5"/>
      <c r="B624" s="9" t="s">
        <v>194</v>
      </c>
      <c r="C624" s="10">
        <v>2729881551</v>
      </c>
      <c r="D624" s="11">
        <v>0.41067999999999999</v>
      </c>
      <c r="E624" s="10">
        <v>1121099</v>
      </c>
      <c r="F624" s="10">
        <v>0</v>
      </c>
      <c r="G624" s="10">
        <v>1121099</v>
      </c>
    </row>
    <row r="625" spans="1:7" ht="15" x14ac:dyDescent="0.25">
      <c r="A625" s="5"/>
      <c r="B625" s="6" t="s">
        <v>195</v>
      </c>
      <c r="C625" s="12">
        <v>167010819</v>
      </c>
      <c r="D625" s="13">
        <v>0.21995999999999999</v>
      </c>
      <c r="E625" s="12">
        <v>36736</v>
      </c>
      <c r="F625" s="12">
        <v>0</v>
      </c>
      <c r="G625" s="12">
        <v>36736</v>
      </c>
    </row>
    <row r="626" spans="1:7" ht="15" x14ac:dyDescent="0.25">
      <c r="A626" s="5"/>
      <c r="B626" s="9" t="s">
        <v>561</v>
      </c>
      <c r="C626" s="10">
        <v>1547787207</v>
      </c>
      <c r="D626" s="11">
        <v>0.48042000000000001</v>
      </c>
      <c r="E626" s="10">
        <v>738767</v>
      </c>
      <c r="F626" s="10">
        <v>0</v>
      </c>
      <c r="G626" s="10">
        <v>738767</v>
      </c>
    </row>
    <row r="627" spans="1:7" ht="15" x14ac:dyDescent="0.25">
      <c r="A627" s="5"/>
      <c r="B627" s="6" t="s">
        <v>85</v>
      </c>
      <c r="C627" s="12">
        <v>2816935499</v>
      </c>
      <c r="D627" s="13">
        <v>0.30103999999999997</v>
      </c>
      <c r="E627" s="12">
        <v>848019</v>
      </c>
      <c r="F627" s="12">
        <v>0</v>
      </c>
      <c r="G627" s="12">
        <v>848019</v>
      </c>
    </row>
    <row r="628" spans="1:7" ht="15" x14ac:dyDescent="0.25">
      <c r="A628" s="5"/>
      <c r="B628" s="9" t="s">
        <v>478</v>
      </c>
      <c r="C628" s="10">
        <v>21351571</v>
      </c>
      <c r="D628" s="11">
        <v>0.32389000000000001</v>
      </c>
      <c r="E628" s="10">
        <v>6915</v>
      </c>
      <c r="F628" s="10">
        <v>0</v>
      </c>
      <c r="G628" s="10">
        <v>6915</v>
      </c>
    </row>
    <row r="629" spans="1:7" ht="15" x14ac:dyDescent="0.25">
      <c r="A629" s="5"/>
      <c r="B629" s="6" t="s">
        <v>446</v>
      </c>
      <c r="C629" s="12">
        <v>237810203</v>
      </c>
      <c r="D629" s="13">
        <v>0.31755</v>
      </c>
      <c r="E629" s="12">
        <v>75517</v>
      </c>
      <c r="F629" s="12">
        <v>0</v>
      </c>
      <c r="G629" s="12">
        <v>75517</v>
      </c>
    </row>
    <row r="630" spans="1:7" ht="15" x14ac:dyDescent="0.25">
      <c r="A630" s="5"/>
      <c r="B630" s="9" t="s">
        <v>447</v>
      </c>
      <c r="C630" s="10">
        <v>237810203</v>
      </c>
      <c r="D630" s="11">
        <v>0.95232000000000006</v>
      </c>
      <c r="E630" s="10">
        <v>226471</v>
      </c>
      <c r="F630" s="10">
        <v>173008</v>
      </c>
      <c r="G630" s="10">
        <v>399479</v>
      </c>
    </row>
    <row r="631" spans="1:7" ht="15" x14ac:dyDescent="0.25">
      <c r="A631" s="5"/>
      <c r="B631" s="20" t="s">
        <v>538</v>
      </c>
      <c r="C631" s="21"/>
      <c r="D631" s="22"/>
      <c r="E631" s="21"/>
      <c r="F631" s="21"/>
      <c r="G631" s="23">
        <f>SUM(G611:G630)</f>
        <v>10402736</v>
      </c>
    </row>
    <row r="632" spans="1:7" ht="13.5" x14ac:dyDescent="0.25">
      <c r="A632" s="5"/>
      <c r="B632" s="5"/>
      <c r="C632" s="5"/>
      <c r="D632" s="5"/>
      <c r="E632" s="5"/>
      <c r="F632" s="5"/>
      <c r="G632" s="19"/>
    </row>
    <row r="633" spans="1:7" ht="15" x14ac:dyDescent="0.25">
      <c r="A633" s="2" t="s">
        <v>196</v>
      </c>
      <c r="B633" s="3"/>
      <c r="C633" s="3"/>
      <c r="D633" s="3"/>
      <c r="E633" s="3"/>
      <c r="F633" s="3"/>
      <c r="G633" s="4"/>
    </row>
    <row r="634" spans="1:7" ht="15" x14ac:dyDescent="0.25">
      <c r="A634" s="5"/>
      <c r="B634" s="6" t="s">
        <v>479</v>
      </c>
      <c r="C634" s="12">
        <v>2392875236</v>
      </c>
      <c r="D634" s="13">
        <v>0.37618000000000001</v>
      </c>
      <c r="E634" s="12">
        <v>900145</v>
      </c>
      <c r="F634" s="12">
        <v>0</v>
      </c>
      <c r="G634" s="12">
        <v>900145</v>
      </c>
    </row>
    <row r="635" spans="1:7" ht="15" x14ac:dyDescent="0.25">
      <c r="A635" s="5"/>
      <c r="B635" s="9" t="s">
        <v>23</v>
      </c>
      <c r="C635" s="10">
        <v>1985648045</v>
      </c>
      <c r="D635" s="11">
        <v>0.28299000000000002</v>
      </c>
      <c r="E635" s="10">
        <v>561919</v>
      </c>
      <c r="F635" s="10">
        <v>652877</v>
      </c>
      <c r="G635" s="10">
        <v>1214796</v>
      </c>
    </row>
    <row r="636" spans="1:7" ht="15" x14ac:dyDescent="0.25">
      <c r="A636" s="5"/>
      <c r="B636" s="6" t="s">
        <v>24</v>
      </c>
      <c r="C636" s="12">
        <v>407227191</v>
      </c>
      <c r="D636" s="13">
        <v>8.3059999999999995E-2</v>
      </c>
      <c r="E636" s="12">
        <v>33824</v>
      </c>
      <c r="F636" s="12">
        <v>0</v>
      </c>
      <c r="G636" s="12">
        <v>33824</v>
      </c>
    </row>
    <row r="637" spans="1:7" ht="15" x14ac:dyDescent="0.25">
      <c r="A637" s="5"/>
      <c r="B637" s="9" t="s">
        <v>237</v>
      </c>
      <c r="C637" s="10">
        <v>476357769</v>
      </c>
      <c r="D637" s="11">
        <v>1</v>
      </c>
      <c r="E637" s="10">
        <v>476358</v>
      </c>
      <c r="F637" s="10">
        <v>0</v>
      </c>
      <c r="G637" s="10">
        <v>476358</v>
      </c>
    </row>
    <row r="638" spans="1:7" ht="15" x14ac:dyDescent="0.25">
      <c r="A638" s="5"/>
      <c r="B638" s="6" t="s">
        <v>387</v>
      </c>
      <c r="C638" s="12">
        <v>1207789250</v>
      </c>
      <c r="D638" s="13">
        <v>1.2502200000000001</v>
      </c>
      <c r="E638" s="12">
        <v>1510000</v>
      </c>
      <c r="F638" s="12">
        <v>0</v>
      </c>
      <c r="G638" s="12">
        <v>1510000</v>
      </c>
    </row>
    <row r="639" spans="1:7" ht="15" x14ac:dyDescent="0.25">
      <c r="A639" s="5"/>
      <c r="B639" s="9" t="s">
        <v>239</v>
      </c>
      <c r="C639" s="10">
        <v>387631375</v>
      </c>
      <c r="D639" s="11">
        <v>0.91354000000000002</v>
      </c>
      <c r="E639" s="10">
        <v>354116</v>
      </c>
      <c r="F639" s="10">
        <v>0</v>
      </c>
      <c r="G639" s="10">
        <v>354116</v>
      </c>
    </row>
    <row r="640" spans="1:7" ht="15" x14ac:dyDescent="0.25">
      <c r="A640" s="5"/>
      <c r="B640" s="6" t="s">
        <v>240</v>
      </c>
      <c r="C640" s="12">
        <v>72014403</v>
      </c>
      <c r="D640" s="13">
        <v>0.49930999999999998</v>
      </c>
      <c r="E640" s="12">
        <v>35957</v>
      </c>
      <c r="F640" s="12">
        <v>0</v>
      </c>
      <c r="G640" s="12">
        <v>35957</v>
      </c>
    </row>
    <row r="641" spans="1:7" ht="15" x14ac:dyDescent="0.25">
      <c r="A641" s="5"/>
      <c r="B641" s="9" t="s">
        <v>28</v>
      </c>
      <c r="C641" s="10">
        <v>1985648045</v>
      </c>
      <c r="D641" s="11">
        <v>7.8780000000000003E-2</v>
      </c>
      <c r="E641" s="10">
        <v>156423</v>
      </c>
      <c r="F641" s="10">
        <v>0</v>
      </c>
      <c r="G641" s="10">
        <v>156423</v>
      </c>
    </row>
    <row r="642" spans="1:7" ht="15" x14ac:dyDescent="0.25">
      <c r="A642" s="5"/>
      <c r="B642" s="6" t="s">
        <v>30</v>
      </c>
      <c r="C642" s="12">
        <v>319688110</v>
      </c>
      <c r="D642" s="13">
        <v>2.7990000000000001E-2</v>
      </c>
      <c r="E642" s="12">
        <v>8948</v>
      </c>
      <c r="F642" s="12">
        <v>0</v>
      </c>
      <c r="G642" s="12">
        <v>8948</v>
      </c>
    </row>
    <row r="643" spans="1:7" ht="15" x14ac:dyDescent="0.25">
      <c r="A643" s="5"/>
      <c r="B643" s="9" t="s">
        <v>480</v>
      </c>
      <c r="C643" s="10">
        <v>109782192</v>
      </c>
      <c r="D643" s="11">
        <v>0</v>
      </c>
      <c r="E643" s="10">
        <v>0</v>
      </c>
      <c r="F643" s="10">
        <v>83355</v>
      </c>
      <c r="G643" s="10">
        <v>83355</v>
      </c>
    </row>
    <row r="644" spans="1:7" ht="15" x14ac:dyDescent="0.25">
      <c r="A644" s="5"/>
      <c r="B644" s="20" t="s">
        <v>538</v>
      </c>
      <c r="C644" s="21"/>
      <c r="D644" s="22"/>
      <c r="E644" s="21"/>
      <c r="F644" s="21"/>
      <c r="G644" s="23">
        <f>SUM(G634:G643)</f>
        <v>4773922</v>
      </c>
    </row>
    <row r="645" spans="1:7" ht="13.5" x14ac:dyDescent="0.25">
      <c r="A645" s="5"/>
      <c r="B645" s="5"/>
      <c r="C645" s="5"/>
      <c r="D645" s="5"/>
      <c r="E645" s="5"/>
      <c r="F645" s="5"/>
      <c r="G645" s="19"/>
    </row>
    <row r="646" spans="1:7" ht="15" x14ac:dyDescent="0.25">
      <c r="A646" s="2" t="s">
        <v>197</v>
      </c>
      <c r="B646" s="3"/>
      <c r="C646" s="3"/>
      <c r="D646" s="3"/>
      <c r="E646" s="3"/>
      <c r="F646" s="3"/>
      <c r="G646" s="4"/>
    </row>
    <row r="647" spans="1:7" ht="15" x14ac:dyDescent="0.25">
      <c r="A647" s="5"/>
      <c r="B647" s="6" t="s">
        <v>95</v>
      </c>
      <c r="C647" s="12">
        <v>133915251589</v>
      </c>
      <c r="D647" s="13">
        <v>0.33898</v>
      </c>
      <c r="E647" s="12">
        <v>45394592</v>
      </c>
      <c r="F647" s="12">
        <v>0</v>
      </c>
      <c r="G647" s="12">
        <v>45394592</v>
      </c>
    </row>
    <row r="648" spans="1:7" ht="15" x14ac:dyDescent="0.25">
      <c r="A648" s="5"/>
      <c r="B648" s="9" t="s">
        <v>388</v>
      </c>
      <c r="C648" s="10">
        <v>2238534813</v>
      </c>
      <c r="D648" s="11">
        <v>0.2581</v>
      </c>
      <c r="E648" s="10">
        <v>577766</v>
      </c>
      <c r="F648" s="10">
        <v>68387</v>
      </c>
      <c r="G648" s="10">
        <v>646153</v>
      </c>
    </row>
    <row r="649" spans="1:7" ht="15" x14ac:dyDescent="0.25">
      <c r="A649" s="5"/>
      <c r="B649" s="6" t="s">
        <v>238</v>
      </c>
      <c r="C649" s="12">
        <v>18489641063</v>
      </c>
      <c r="D649" s="13">
        <v>1.3204800000000001</v>
      </c>
      <c r="E649" s="12">
        <v>24415243</v>
      </c>
      <c r="F649" s="12">
        <v>16951659</v>
      </c>
      <c r="G649" s="12">
        <v>41366902</v>
      </c>
    </row>
    <row r="650" spans="1:7" ht="15" x14ac:dyDescent="0.25">
      <c r="A650" s="5"/>
      <c r="B650" s="9" t="s">
        <v>240</v>
      </c>
      <c r="C650" s="10">
        <v>19290553767</v>
      </c>
      <c r="D650" s="11">
        <v>1.5</v>
      </c>
      <c r="E650" s="10">
        <v>28935831</v>
      </c>
      <c r="F650" s="10">
        <v>4092791</v>
      </c>
      <c r="G650" s="10">
        <v>33028622</v>
      </c>
    </row>
    <row r="651" spans="1:7" ht="15" x14ac:dyDescent="0.25">
      <c r="A651" s="5"/>
      <c r="B651" s="6" t="s">
        <v>241</v>
      </c>
      <c r="C651" s="12">
        <v>41636571364</v>
      </c>
      <c r="D651" s="13">
        <v>0.73358999999999996</v>
      </c>
      <c r="E651" s="12">
        <v>30544285</v>
      </c>
      <c r="F651" s="12">
        <v>2499892</v>
      </c>
      <c r="G651" s="12">
        <v>33044177</v>
      </c>
    </row>
    <row r="652" spans="1:7" ht="15" x14ac:dyDescent="0.25">
      <c r="A652" s="5"/>
      <c r="B652" s="9" t="s">
        <v>324</v>
      </c>
      <c r="C652" s="10">
        <v>4537028767</v>
      </c>
      <c r="D652" s="11">
        <v>0.81672</v>
      </c>
      <c r="E652" s="10">
        <v>3705480</v>
      </c>
      <c r="F652" s="10">
        <v>0</v>
      </c>
      <c r="G652" s="10">
        <v>3705480</v>
      </c>
    </row>
    <row r="653" spans="1:7" ht="15" x14ac:dyDescent="0.25">
      <c r="A653" s="5"/>
      <c r="B653" s="6" t="s">
        <v>325</v>
      </c>
      <c r="C653" s="12">
        <v>825747004</v>
      </c>
      <c r="D653" s="13">
        <v>1.0713200000000001</v>
      </c>
      <c r="E653" s="12">
        <v>884643</v>
      </c>
      <c r="F653" s="12">
        <v>0</v>
      </c>
      <c r="G653" s="12">
        <v>884643</v>
      </c>
    </row>
    <row r="654" spans="1:7" ht="15" x14ac:dyDescent="0.25">
      <c r="A654" s="5"/>
      <c r="B654" s="9" t="s">
        <v>330</v>
      </c>
      <c r="C654" s="10">
        <v>299551119</v>
      </c>
      <c r="D654" s="11">
        <v>1.5</v>
      </c>
      <c r="E654" s="10">
        <v>449327</v>
      </c>
      <c r="F654" s="10">
        <v>160900</v>
      </c>
      <c r="G654" s="10">
        <v>610227</v>
      </c>
    </row>
    <row r="655" spans="1:7" ht="15" x14ac:dyDescent="0.25">
      <c r="A655" s="5"/>
      <c r="B655" s="6" t="s">
        <v>344</v>
      </c>
      <c r="C655" s="12">
        <v>4779912853</v>
      </c>
      <c r="D655" s="13">
        <v>1.4156200000000001</v>
      </c>
      <c r="E655" s="12">
        <v>6766528</v>
      </c>
      <c r="F655" s="12">
        <v>798717</v>
      </c>
      <c r="G655" s="12">
        <v>7565245</v>
      </c>
    </row>
    <row r="656" spans="1:7" ht="15" x14ac:dyDescent="0.25">
      <c r="A656" s="5"/>
      <c r="B656" s="9" t="s">
        <v>345</v>
      </c>
      <c r="C656" s="10">
        <v>3813849460</v>
      </c>
      <c r="D656" s="11">
        <v>1.5</v>
      </c>
      <c r="E656" s="10">
        <v>5720774</v>
      </c>
      <c r="F656" s="10">
        <v>0</v>
      </c>
      <c r="G656" s="10">
        <v>5720774</v>
      </c>
    </row>
    <row r="657" spans="1:7" ht="15" x14ac:dyDescent="0.25">
      <c r="A657" s="5"/>
      <c r="B657" s="6" t="s">
        <v>366</v>
      </c>
      <c r="C657" s="12">
        <v>2803363608</v>
      </c>
      <c r="D657" s="13">
        <v>1</v>
      </c>
      <c r="E657" s="12">
        <v>2803364</v>
      </c>
      <c r="F657" s="12">
        <v>0</v>
      </c>
      <c r="G657" s="12">
        <v>2803364</v>
      </c>
    </row>
    <row r="658" spans="1:7" ht="15" x14ac:dyDescent="0.25">
      <c r="A658" s="5"/>
      <c r="B658" s="9" t="s">
        <v>389</v>
      </c>
      <c r="C658" s="10">
        <v>12648834173</v>
      </c>
      <c r="D658" s="11">
        <v>1</v>
      </c>
      <c r="E658" s="10">
        <v>12648834</v>
      </c>
      <c r="F658" s="10">
        <v>0</v>
      </c>
      <c r="G658" s="10">
        <v>12648834</v>
      </c>
    </row>
    <row r="659" spans="1:7" ht="15" x14ac:dyDescent="0.25">
      <c r="A659" s="5"/>
      <c r="B659" s="6" t="s">
        <v>390</v>
      </c>
      <c r="C659" s="12">
        <v>27310490454</v>
      </c>
      <c r="D659" s="13">
        <v>1.0866</v>
      </c>
      <c r="E659" s="12">
        <v>29675579</v>
      </c>
      <c r="F659" s="12">
        <v>5017051</v>
      </c>
      <c r="G659" s="12">
        <v>34692630</v>
      </c>
    </row>
    <row r="660" spans="1:7" ht="15" x14ac:dyDescent="0.25">
      <c r="A660" s="5"/>
      <c r="B660" s="9" t="s">
        <v>391</v>
      </c>
      <c r="C660" s="10">
        <v>317681524</v>
      </c>
      <c r="D660" s="11">
        <v>1.2023200000000001</v>
      </c>
      <c r="E660" s="10">
        <v>381955</v>
      </c>
      <c r="F660" s="10">
        <v>0</v>
      </c>
      <c r="G660" s="10">
        <v>381955</v>
      </c>
    </row>
    <row r="661" spans="1:7" ht="15" x14ac:dyDescent="0.25">
      <c r="A661" s="5"/>
      <c r="B661" s="6" t="s">
        <v>392</v>
      </c>
      <c r="C661" s="12">
        <v>127375733</v>
      </c>
      <c r="D661" s="13">
        <v>1.1658599999999999</v>
      </c>
      <c r="E661" s="12">
        <v>148502</v>
      </c>
      <c r="F661" s="12">
        <v>0</v>
      </c>
      <c r="G661" s="12">
        <v>148502</v>
      </c>
    </row>
    <row r="662" spans="1:7" ht="15" x14ac:dyDescent="0.25">
      <c r="A662" s="5"/>
      <c r="B662" s="9" t="s">
        <v>393</v>
      </c>
      <c r="C662" s="10">
        <v>288759488</v>
      </c>
      <c r="D662" s="11">
        <v>0.54668000000000005</v>
      </c>
      <c r="E662" s="10">
        <v>157860</v>
      </c>
      <c r="F662" s="10">
        <v>0</v>
      </c>
      <c r="G662" s="10">
        <v>157860</v>
      </c>
    </row>
    <row r="663" spans="1:7" ht="15" x14ac:dyDescent="0.25">
      <c r="A663" s="5"/>
      <c r="B663" s="6" t="s">
        <v>394</v>
      </c>
      <c r="C663" s="12">
        <v>612046701</v>
      </c>
      <c r="D663" s="13">
        <v>1.5</v>
      </c>
      <c r="E663" s="12">
        <v>918070</v>
      </c>
      <c r="F663" s="12">
        <v>114590</v>
      </c>
      <c r="G663" s="12">
        <v>1032660</v>
      </c>
    </row>
    <row r="664" spans="1:7" ht="15" x14ac:dyDescent="0.25">
      <c r="A664" s="5"/>
      <c r="B664" s="9" t="s">
        <v>198</v>
      </c>
      <c r="C664" s="10">
        <v>43286974450</v>
      </c>
      <c r="D664" s="11">
        <v>0.75</v>
      </c>
      <c r="E664" s="10">
        <v>32465231</v>
      </c>
      <c r="F664" s="10">
        <v>20098881</v>
      </c>
      <c r="G664" s="10">
        <v>52564112</v>
      </c>
    </row>
    <row r="665" spans="1:7" ht="15" x14ac:dyDescent="0.25">
      <c r="A665" s="5"/>
      <c r="B665" s="6" t="s">
        <v>199</v>
      </c>
      <c r="C665" s="12">
        <v>14659911472</v>
      </c>
      <c r="D665" s="13">
        <v>0.58140000000000003</v>
      </c>
      <c r="E665" s="12">
        <v>8523285</v>
      </c>
      <c r="F665" s="12">
        <v>0</v>
      </c>
      <c r="G665" s="12">
        <v>8523285</v>
      </c>
    </row>
    <row r="666" spans="1:7" ht="15" x14ac:dyDescent="0.25">
      <c r="A666" s="5"/>
      <c r="B666" s="9" t="s">
        <v>200</v>
      </c>
      <c r="C666" s="10">
        <v>4646462962</v>
      </c>
      <c r="D666" s="11">
        <v>0.32821</v>
      </c>
      <c r="E666" s="10">
        <v>1524998</v>
      </c>
      <c r="F666" s="10">
        <v>0</v>
      </c>
      <c r="G666" s="10">
        <v>1524998</v>
      </c>
    </row>
    <row r="667" spans="1:7" ht="15" x14ac:dyDescent="0.25">
      <c r="A667" s="5"/>
      <c r="B667" s="6" t="s">
        <v>201</v>
      </c>
      <c r="C667" s="12">
        <v>190747102118</v>
      </c>
      <c r="D667" s="13">
        <v>0.13686999999999999</v>
      </c>
      <c r="E667" s="12">
        <v>26108261</v>
      </c>
      <c r="F667" s="12">
        <v>0</v>
      </c>
      <c r="G667" s="12">
        <v>26108261</v>
      </c>
    </row>
    <row r="668" spans="1:7" ht="15" x14ac:dyDescent="0.25">
      <c r="A668" s="5"/>
      <c r="B668" s="9" t="s">
        <v>91</v>
      </c>
      <c r="C668" s="10">
        <v>18489641063</v>
      </c>
      <c r="D668" s="11">
        <v>0.43991999999999998</v>
      </c>
      <c r="E668" s="10">
        <v>8133888</v>
      </c>
      <c r="F668" s="10">
        <v>0</v>
      </c>
      <c r="G668" s="10">
        <v>8133888</v>
      </c>
    </row>
    <row r="669" spans="1:7" ht="15" x14ac:dyDescent="0.25">
      <c r="A669" s="5"/>
      <c r="B669" s="6" t="s">
        <v>93</v>
      </c>
      <c r="C669" s="12">
        <v>19290553767</v>
      </c>
      <c r="D669" s="13">
        <v>0.5</v>
      </c>
      <c r="E669" s="12">
        <v>9645277</v>
      </c>
      <c r="F669" s="12">
        <v>0</v>
      </c>
      <c r="G669" s="12">
        <v>9645277</v>
      </c>
    </row>
    <row r="670" spans="1:7" ht="15" x14ac:dyDescent="0.25">
      <c r="A670" s="5"/>
      <c r="B670" s="9" t="s">
        <v>41</v>
      </c>
      <c r="C670" s="10">
        <v>41636571364</v>
      </c>
      <c r="D670" s="11">
        <v>0.5</v>
      </c>
      <c r="E670" s="10">
        <v>20818286</v>
      </c>
      <c r="F670" s="10">
        <v>0</v>
      </c>
      <c r="G670" s="10">
        <v>20818286</v>
      </c>
    </row>
    <row r="671" spans="1:7" ht="15" x14ac:dyDescent="0.25">
      <c r="A671" s="5"/>
      <c r="B671" s="6" t="s">
        <v>154</v>
      </c>
      <c r="C671" s="12">
        <v>4537028767</v>
      </c>
      <c r="D671" s="13">
        <v>0.28666000000000003</v>
      </c>
      <c r="E671" s="12">
        <v>1300577</v>
      </c>
      <c r="F671" s="12">
        <v>0</v>
      </c>
      <c r="G671" s="12">
        <v>1300577</v>
      </c>
    </row>
    <row r="672" spans="1:7" ht="15" x14ac:dyDescent="0.25">
      <c r="A672" s="5"/>
      <c r="B672" s="9" t="s">
        <v>202</v>
      </c>
      <c r="C672" s="10">
        <v>825747004</v>
      </c>
      <c r="D672" s="11">
        <v>0.43419000000000002</v>
      </c>
      <c r="E672" s="10">
        <v>358532</v>
      </c>
      <c r="F672" s="10">
        <v>0</v>
      </c>
      <c r="G672" s="10">
        <v>358532</v>
      </c>
    </row>
    <row r="673" spans="1:7" ht="15" x14ac:dyDescent="0.25">
      <c r="A673" s="5"/>
      <c r="B673" s="6" t="s">
        <v>155</v>
      </c>
      <c r="C673" s="12">
        <v>299551119</v>
      </c>
      <c r="D673" s="13">
        <v>0.40244000000000002</v>
      </c>
      <c r="E673" s="12">
        <v>120550</v>
      </c>
      <c r="F673" s="12">
        <v>0</v>
      </c>
      <c r="G673" s="12">
        <v>120550</v>
      </c>
    </row>
    <row r="674" spans="1:7" ht="15" x14ac:dyDescent="0.25">
      <c r="A674" s="5"/>
      <c r="B674" s="9" t="s">
        <v>203</v>
      </c>
      <c r="C674" s="10">
        <v>4779912853</v>
      </c>
      <c r="D674" s="11">
        <v>0.34399000000000002</v>
      </c>
      <c r="E674" s="10">
        <v>1644243</v>
      </c>
      <c r="F674" s="10">
        <v>0</v>
      </c>
      <c r="G674" s="10">
        <v>1644243</v>
      </c>
    </row>
    <row r="675" spans="1:7" ht="15" x14ac:dyDescent="0.25">
      <c r="A675" s="5"/>
      <c r="B675" s="6" t="s">
        <v>157</v>
      </c>
      <c r="C675" s="12">
        <v>3957512387</v>
      </c>
      <c r="D675" s="13">
        <v>0.5</v>
      </c>
      <c r="E675" s="12">
        <v>1978756</v>
      </c>
      <c r="F675" s="12">
        <v>0</v>
      </c>
      <c r="G675" s="12">
        <v>1978756</v>
      </c>
    </row>
    <row r="676" spans="1:7" ht="15" x14ac:dyDescent="0.25">
      <c r="A676" s="5"/>
      <c r="B676" s="9" t="s">
        <v>158</v>
      </c>
      <c r="C676" s="10">
        <v>2813885883</v>
      </c>
      <c r="D676" s="11">
        <v>0.43265999999999999</v>
      </c>
      <c r="E676" s="10">
        <v>1217466</v>
      </c>
      <c r="F676" s="10">
        <v>0</v>
      </c>
      <c r="G676" s="10">
        <v>1217466</v>
      </c>
    </row>
    <row r="677" spans="1:7" ht="15" x14ac:dyDescent="0.25">
      <c r="A677" s="5"/>
      <c r="B677" s="6" t="s">
        <v>204</v>
      </c>
      <c r="C677" s="12">
        <v>12648834173</v>
      </c>
      <c r="D677" s="13">
        <v>0.5</v>
      </c>
      <c r="E677" s="12">
        <v>6324417</v>
      </c>
      <c r="F677" s="12">
        <v>0</v>
      </c>
      <c r="G677" s="12">
        <v>6324417</v>
      </c>
    </row>
    <row r="678" spans="1:7" ht="15" x14ac:dyDescent="0.25">
      <c r="A678" s="5"/>
      <c r="B678" s="9" t="s">
        <v>249</v>
      </c>
      <c r="C678" s="10">
        <v>27367475425</v>
      </c>
      <c r="D678" s="11">
        <v>0.36423</v>
      </c>
      <c r="E678" s="10">
        <v>9968056</v>
      </c>
      <c r="F678" s="10">
        <v>0</v>
      </c>
      <c r="G678" s="10">
        <v>9968056</v>
      </c>
    </row>
    <row r="679" spans="1:7" ht="15" x14ac:dyDescent="0.25">
      <c r="A679" s="5"/>
      <c r="B679" s="6" t="s">
        <v>250</v>
      </c>
      <c r="C679" s="12">
        <v>342797612</v>
      </c>
      <c r="D679" s="13">
        <v>0.38451999999999997</v>
      </c>
      <c r="E679" s="12">
        <v>131813</v>
      </c>
      <c r="F679" s="12">
        <v>0</v>
      </c>
      <c r="G679" s="12">
        <v>131813</v>
      </c>
    </row>
    <row r="680" spans="1:7" ht="15" x14ac:dyDescent="0.25">
      <c r="A680" s="5"/>
      <c r="B680" s="9" t="s">
        <v>205</v>
      </c>
      <c r="C680" s="10">
        <v>297801933</v>
      </c>
      <c r="D680" s="11">
        <v>0.27262999999999998</v>
      </c>
      <c r="E680" s="10">
        <v>81190</v>
      </c>
      <c r="F680" s="10">
        <v>0</v>
      </c>
      <c r="G680" s="10">
        <v>81190</v>
      </c>
    </row>
    <row r="681" spans="1:7" ht="15" x14ac:dyDescent="0.25">
      <c r="A681" s="5"/>
      <c r="B681" s="6" t="s">
        <v>206</v>
      </c>
      <c r="C681" s="12">
        <v>612046701</v>
      </c>
      <c r="D681" s="13">
        <v>0.5</v>
      </c>
      <c r="E681" s="12">
        <v>306023</v>
      </c>
      <c r="F681" s="12">
        <v>0</v>
      </c>
      <c r="G681" s="12">
        <v>306023</v>
      </c>
    </row>
    <row r="682" spans="1:7" ht="15" x14ac:dyDescent="0.25">
      <c r="A682" s="5"/>
      <c r="B682" s="9" t="s">
        <v>207</v>
      </c>
      <c r="C682" s="10">
        <v>42461227446</v>
      </c>
      <c r="D682" s="11">
        <v>0.5</v>
      </c>
      <c r="E682" s="10">
        <v>21230614</v>
      </c>
      <c r="F682" s="10">
        <v>0</v>
      </c>
      <c r="G682" s="10">
        <v>21230614</v>
      </c>
    </row>
    <row r="683" spans="1:7" ht="15" x14ac:dyDescent="0.25">
      <c r="A683" s="5"/>
      <c r="B683" s="6" t="s">
        <v>208</v>
      </c>
      <c r="C683" s="12">
        <v>1113794358</v>
      </c>
      <c r="D683" s="13">
        <v>0.30059000000000002</v>
      </c>
      <c r="E683" s="12">
        <v>334793</v>
      </c>
      <c r="F683" s="12">
        <v>0</v>
      </c>
      <c r="G683" s="12">
        <v>334793</v>
      </c>
    </row>
    <row r="684" spans="1:7" ht="15" x14ac:dyDescent="0.25">
      <c r="A684" s="5"/>
      <c r="B684" s="9" t="s">
        <v>209</v>
      </c>
      <c r="C684" s="10">
        <v>438024080</v>
      </c>
      <c r="D684" s="11">
        <v>0.5</v>
      </c>
      <c r="E684" s="10">
        <v>219012</v>
      </c>
      <c r="F684" s="10">
        <v>0</v>
      </c>
      <c r="G684" s="10">
        <v>219012</v>
      </c>
    </row>
    <row r="685" spans="1:7" ht="15" x14ac:dyDescent="0.25">
      <c r="A685" s="5"/>
      <c r="B685" s="6" t="s">
        <v>210</v>
      </c>
      <c r="C685" s="12">
        <v>1466669294</v>
      </c>
      <c r="D685" s="13">
        <v>0.38725999999999999</v>
      </c>
      <c r="E685" s="12">
        <v>567987</v>
      </c>
      <c r="F685" s="12">
        <v>0</v>
      </c>
      <c r="G685" s="12">
        <v>567987</v>
      </c>
    </row>
    <row r="686" spans="1:7" ht="15" x14ac:dyDescent="0.25">
      <c r="A686" s="5"/>
      <c r="B686" s="9" t="s">
        <v>450</v>
      </c>
      <c r="C686" s="10">
        <v>79144297</v>
      </c>
      <c r="D686" s="11">
        <v>0.29270000000000002</v>
      </c>
      <c r="E686" s="10">
        <v>23166</v>
      </c>
      <c r="F686" s="10">
        <v>0</v>
      </c>
      <c r="G686" s="10">
        <v>23166</v>
      </c>
    </row>
    <row r="687" spans="1:7" ht="15" x14ac:dyDescent="0.25">
      <c r="A687" s="5"/>
      <c r="B687" s="6" t="s">
        <v>211</v>
      </c>
      <c r="C687" s="12">
        <v>1523826747</v>
      </c>
      <c r="D687" s="13">
        <v>0.43702000000000002</v>
      </c>
      <c r="E687" s="12">
        <v>665947</v>
      </c>
      <c r="F687" s="12">
        <v>0</v>
      </c>
      <c r="G687" s="12">
        <v>665947</v>
      </c>
    </row>
    <row r="688" spans="1:7" ht="15" x14ac:dyDescent="0.25">
      <c r="A688" s="5"/>
      <c r="B688" s="9" t="s">
        <v>212</v>
      </c>
      <c r="C688" s="10">
        <v>2570593127</v>
      </c>
      <c r="D688" s="11">
        <v>0.5</v>
      </c>
      <c r="E688" s="10">
        <v>1285297</v>
      </c>
      <c r="F688" s="10">
        <v>0</v>
      </c>
      <c r="G688" s="10">
        <v>1285297</v>
      </c>
    </row>
    <row r="689" spans="1:7" ht="15" x14ac:dyDescent="0.25">
      <c r="A689" s="5"/>
      <c r="B689" s="6" t="s">
        <v>213</v>
      </c>
      <c r="C689" s="12">
        <v>112243074</v>
      </c>
      <c r="D689" s="13">
        <v>0.36742000000000002</v>
      </c>
      <c r="E689" s="12">
        <v>41240</v>
      </c>
      <c r="F689" s="12">
        <v>0</v>
      </c>
      <c r="G689" s="12">
        <v>41240</v>
      </c>
    </row>
    <row r="690" spans="1:7" ht="15" x14ac:dyDescent="0.25">
      <c r="A690" s="5"/>
      <c r="B690" s="9" t="s">
        <v>214</v>
      </c>
      <c r="C690" s="10">
        <v>76433131</v>
      </c>
      <c r="D690" s="11">
        <v>0.27746999999999999</v>
      </c>
      <c r="E690" s="10">
        <v>21208</v>
      </c>
      <c r="F690" s="10">
        <v>0</v>
      </c>
      <c r="G690" s="10">
        <v>21208</v>
      </c>
    </row>
    <row r="691" spans="1:7" ht="15" x14ac:dyDescent="0.25">
      <c r="A691" s="5"/>
      <c r="B691" s="6" t="s">
        <v>481</v>
      </c>
      <c r="C691" s="12">
        <v>612046701</v>
      </c>
      <c r="D691" s="13">
        <v>0.5</v>
      </c>
      <c r="E691" s="12">
        <v>306023</v>
      </c>
      <c r="F691" s="12">
        <v>0</v>
      </c>
      <c r="G691" s="12">
        <v>306023</v>
      </c>
    </row>
    <row r="692" spans="1:7" ht="15" x14ac:dyDescent="0.25">
      <c r="A692" s="5"/>
      <c r="B692" s="9" t="s">
        <v>215</v>
      </c>
      <c r="C692" s="10">
        <v>190747102118</v>
      </c>
      <c r="D692" s="11">
        <v>9.9339999999999998E-2</v>
      </c>
      <c r="E692" s="10">
        <v>18948175</v>
      </c>
      <c r="F692" s="10">
        <v>0</v>
      </c>
      <c r="G692" s="10">
        <v>18948175</v>
      </c>
    </row>
    <row r="693" spans="1:7" ht="15" x14ac:dyDescent="0.25">
      <c r="A693" s="5"/>
      <c r="B693" s="6" t="s">
        <v>352</v>
      </c>
      <c r="C693" s="12">
        <v>2238534813</v>
      </c>
      <c r="D693" s="13">
        <v>0.7863</v>
      </c>
      <c r="E693" s="12">
        <v>1760160</v>
      </c>
      <c r="F693" s="12">
        <v>172362</v>
      </c>
      <c r="G693" s="12">
        <v>1932522</v>
      </c>
    </row>
    <row r="694" spans="1:7" ht="15" x14ac:dyDescent="0.25">
      <c r="A694" s="5"/>
      <c r="B694" s="9" t="s">
        <v>428</v>
      </c>
      <c r="C694" s="10">
        <v>151890226986</v>
      </c>
      <c r="D694" s="11">
        <v>0.16483</v>
      </c>
      <c r="E694" s="10">
        <v>25036066</v>
      </c>
      <c r="F694" s="10">
        <v>0</v>
      </c>
      <c r="G694" s="10">
        <v>25036066</v>
      </c>
    </row>
    <row r="695" spans="1:7" ht="15" x14ac:dyDescent="0.25">
      <c r="A695" s="5"/>
      <c r="B695" s="20" t="s">
        <v>538</v>
      </c>
      <c r="C695" s="21"/>
      <c r="D695" s="22"/>
      <c r="E695" s="21"/>
      <c r="F695" s="21"/>
      <c r="G695" s="23">
        <f>SUM(G647:G694)</f>
        <v>445194400</v>
      </c>
    </row>
    <row r="696" spans="1:7" ht="13.5" x14ac:dyDescent="0.25">
      <c r="A696" s="5"/>
      <c r="B696" s="5"/>
      <c r="C696" s="5"/>
      <c r="D696" s="5"/>
      <c r="E696" s="5"/>
      <c r="F696" s="5"/>
      <c r="G696" s="19"/>
    </row>
    <row r="697" spans="1:7" ht="15" x14ac:dyDescent="0.25">
      <c r="A697" s="2" t="s">
        <v>216</v>
      </c>
      <c r="B697" s="3"/>
      <c r="C697" s="3"/>
      <c r="D697" s="3"/>
      <c r="E697" s="3"/>
      <c r="F697" s="3"/>
      <c r="G697" s="4"/>
    </row>
    <row r="698" spans="1:7" ht="15" x14ac:dyDescent="0.25">
      <c r="A698" s="5"/>
      <c r="B698" s="6" t="s">
        <v>217</v>
      </c>
      <c r="C698" s="12">
        <v>6161183199</v>
      </c>
      <c r="D698" s="13">
        <v>0.25386999999999998</v>
      </c>
      <c r="E698" s="12">
        <v>1564111</v>
      </c>
      <c r="F698" s="12">
        <v>0</v>
      </c>
      <c r="G698" s="12">
        <v>1564111</v>
      </c>
    </row>
    <row r="699" spans="1:7" ht="15" x14ac:dyDescent="0.25">
      <c r="A699" s="5"/>
      <c r="B699" s="9" t="s">
        <v>218</v>
      </c>
      <c r="C699" s="10">
        <v>2245193500</v>
      </c>
      <c r="D699" s="11">
        <v>0.29603000000000002</v>
      </c>
      <c r="E699" s="10">
        <v>664638</v>
      </c>
      <c r="F699" s="10">
        <v>0</v>
      </c>
      <c r="G699" s="10">
        <v>664638</v>
      </c>
    </row>
    <row r="700" spans="1:7" ht="15" x14ac:dyDescent="0.25">
      <c r="A700" s="5"/>
      <c r="B700" s="6" t="s">
        <v>219</v>
      </c>
      <c r="C700" s="12">
        <v>4566939436</v>
      </c>
      <c r="D700" s="13">
        <v>0.22231999999999999</v>
      </c>
      <c r="E700" s="12">
        <v>1015300</v>
      </c>
      <c r="F700" s="12">
        <v>0</v>
      </c>
      <c r="G700" s="12">
        <v>1015300</v>
      </c>
    </row>
    <row r="701" spans="1:7" ht="15" x14ac:dyDescent="0.25">
      <c r="A701" s="5"/>
      <c r="B701" s="9" t="s">
        <v>220</v>
      </c>
      <c r="C701" s="10">
        <v>6585462771</v>
      </c>
      <c r="D701" s="11">
        <v>0.4995</v>
      </c>
      <c r="E701" s="10">
        <v>3289445</v>
      </c>
      <c r="F701" s="10">
        <v>0</v>
      </c>
      <c r="G701" s="10">
        <v>3289445</v>
      </c>
    </row>
    <row r="702" spans="1:7" ht="15" x14ac:dyDescent="0.25">
      <c r="A702" s="5"/>
      <c r="B702" s="6" t="s">
        <v>439</v>
      </c>
      <c r="C702" s="12">
        <v>2245193500</v>
      </c>
      <c r="D702" s="13">
        <v>0.61465000000000003</v>
      </c>
      <c r="E702" s="12">
        <v>1380000</v>
      </c>
      <c r="F702" s="12">
        <v>0</v>
      </c>
      <c r="G702" s="12">
        <v>1380000</v>
      </c>
    </row>
    <row r="703" spans="1:7" ht="15" x14ac:dyDescent="0.25">
      <c r="A703" s="5"/>
      <c r="B703" s="9" t="s">
        <v>451</v>
      </c>
      <c r="C703" s="10">
        <v>4578477786</v>
      </c>
      <c r="D703" s="11">
        <v>0.35798000000000002</v>
      </c>
      <c r="E703" s="10">
        <v>1639000</v>
      </c>
      <c r="F703" s="10">
        <v>0</v>
      </c>
      <c r="G703" s="10">
        <v>1639000</v>
      </c>
    </row>
    <row r="704" spans="1:7" ht="15" x14ac:dyDescent="0.25">
      <c r="A704" s="5"/>
      <c r="B704" s="6" t="s">
        <v>395</v>
      </c>
      <c r="C704" s="12">
        <v>4566939436</v>
      </c>
      <c r="D704" s="13">
        <v>0.53095999999999999</v>
      </c>
      <c r="E704" s="12">
        <v>2424842</v>
      </c>
      <c r="F704" s="12">
        <v>0</v>
      </c>
      <c r="G704" s="12">
        <v>2424842</v>
      </c>
    </row>
    <row r="705" spans="1:7" ht="15" x14ac:dyDescent="0.25">
      <c r="A705" s="5"/>
      <c r="B705" s="9" t="s">
        <v>396</v>
      </c>
      <c r="C705" s="10">
        <v>6585462771</v>
      </c>
      <c r="D705" s="11">
        <v>0.29837999999999998</v>
      </c>
      <c r="E705" s="10">
        <v>1965000</v>
      </c>
      <c r="F705" s="10">
        <v>0</v>
      </c>
      <c r="G705" s="10">
        <v>1965000</v>
      </c>
    </row>
    <row r="706" spans="1:7" ht="15" x14ac:dyDescent="0.25">
      <c r="A706" s="5"/>
      <c r="B706" s="6" t="s">
        <v>397</v>
      </c>
      <c r="C706" s="12">
        <v>2245193500</v>
      </c>
      <c r="D706" s="13">
        <v>0.46303</v>
      </c>
      <c r="E706" s="12">
        <v>1039582</v>
      </c>
      <c r="F706" s="12">
        <v>0</v>
      </c>
      <c r="G706" s="12">
        <v>1039582</v>
      </c>
    </row>
    <row r="707" spans="1:7" ht="15" x14ac:dyDescent="0.25">
      <c r="A707" s="5"/>
      <c r="B707" s="9" t="s">
        <v>398</v>
      </c>
      <c r="C707" s="10">
        <v>366344062</v>
      </c>
      <c r="D707" s="11">
        <v>0.47737000000000002</v>
      </c>
      <c r="E707" s="10">
        <v>174880</v>
      </c>
      <c r="F707" s="10">
        <v>0</v>
      </c>
      <c r="G707" s="10">
        <v>174880</v>
      </c>
    </row>
    <row r="708" spans="1:7" ht="15" x14ac:dyDescent="0.25">
      <c r="A708" s="5"/>
      <c r="B708" s="6" t="s">
        <v>221</v>
      </c>
      <c r="C708" s="12">
        <v>6161183199</v>
      </c>
      <c r="D708" s="13">
        <v>8.992E-2</v>
      </c>
      <c r="E708" s="12">
        <v>554000</v>
      </c>
      <c r="F708" s="12">
        <v>0</v>
      </c>
      <c r="G708" s="12">
        <v>554000</v>
      </c>
    </row>
    <row r="709" spans="1:7" ht="15" x14ac:dyDescent="0.25">
      <c r="A709" s="5"/>
      <c r="B709" s="9" t="s">
        <v>222</v>
      </c>
      <c r="C709" s="10">
        <v>2245193500</v>
      </c>
      <c r="D709" s="11">
        <v>4.8180000000000001E-2</v>
      </c>
      <c r="E709" s="10">
        <v>108181</v>
      </c>
      <c r="F709" s="10">
        <v>0</v>
      </c>
      <c r="G709" s="10">
        <v>108181</v>
      </c>
    </row>
    <row r="710" spans="1:7" ht="15" x14ac:dyDescent="0.25">
      <c r="A710" s="5"/>
      <c r="B710" s="6" t="s">
        <v>223</v>
      </c>
      <c r="C710" s="12">
        <v>4566939436</v>
      </c>
      <c r="D710" s="13">
        <v>6.0319999999999999E-2</v>
      </c>
      <c r="E710" s="12">
        <v>275468</v>
      </c>
      <c r="F710" s="12">
        <v>0</v>
      </c>
      <c r="G710" s="12">
        <v>275468</v>
      </c>
    </row>
    <row r="711" spans="1:7" ht="15" x14ac:dyDescent="0.25">
      <c r="A711" s="5"/>
      <c r="B711" s="9" t="s">
        <v>562</v>
      </c>
      <c r="C711" s="10">
        <v>6585462771</v>
      </c>
      <c r="D711" s="11">
        <v>0.38979000000000003</v>
      </c>
      <c r="E711" s="10">
        <v>2566922</v>
      </c>
      <c r="F711" s="10">
        <v>0</v>
      </c>
      <c r="G711" s="10">
        <v>2566922</v>
      </c>
    </row>
    <row r="712" spans="1:7" ht="15" x14ac:dyDescent="0.25">
      <c r="A712" s="5"/>
      <c r="B712" s="6" t="s">
        <v>518</v>
      </c>
      <c r="C712" s="12">
        <v>2245193500</v>
      </c>
      <c r="D712" s="13">
        <v>0.33996999999999999</v>
      </c>
      <c r="E712" s="12">
        <v>763306</v>
      </c>
      <c r="F712" s="12">
        <v>0</v>
      </c>
      <c r="G712" s="12">
        <v>763306</v>
      </c>
    </row>
    <row r="713" spans="1:7" ht="15" x14ac:dyDescent="0.25">
      <c r="A713" s="5"/>
      <c r="B713" s="9" t="s">
        <v>224</v>
      </c>
      <c r="C713" s="10">
        <v>6161183199</v>
      </c>
      <c r="D713" s="11">
        <v>0.27404000000000001</v>
      </c>
      <c r="E713" s="10">
        <v>1688440</v>
      </c>
      <c r="F713" s="10">
        <v>0</v>
      </c>
      <c r="G713" s="10">
        <v>1688440</v>
      </c>
    </row>
    <row r="714" spans="1:7" ht="15" x14ac:dyDescent="0.25">
      <c r="A714" s="5"/>
      <c r="B714" s="6" t="s">
        <v>225</v>
      </c>
      <c r="C714" s="12">
        <v>4566939436</v>
      </c>
      <c r="D714" s="13">
        <v>0.10692</v>
      </c>
      <c r="E714" s="12">
        <v>488293</v>
      </c>
      <c r="F714" s="12">
        <v>0</v>
      </c>
      <c r="G714" s="12">
        <v>488293</v>
      </c>
    </row>
    <row r="715" spans="1:7" ht="15" x14ac:dyDescent="0.25">
      <c r="A715" s="5"/>
      <c r="B715" s="9" t="s">
        <v>226</v>
      </c>
      <c r="C715" s="10">
        <v>6161183199</v>
      </c>
      <c r="D715" s="11">
        <v>1.4279999999999999E-2</v>
      </c>
      <c r="E715" s="10">
        <v>88000</v>
      </c>
      <c r="F715" s="10">
        <v>0</v>
      </c>
      <c r="G715" s="10">
        <v>88000</v>
      </c>
    </row>
    <row r="716" spans="1:7" ht="15" x14ac:dyDescent="0.25">
      <c r="A716" s="5"/>
      <c r="B716" s="6" t="s">
        <v>452</v>
      </c>
      <c r="C716" s="12">
        <v>3470944182</v>
      </c>
      <c r="D716" s="13">
        <v>9.2200000000000008E-3</v>
      </c>
      <c r="E716" s="12">
        <v>32000</v>
      </c>
      <c r="F716" s="12">
        <v>0</v>
      </c>
      <c r="G716" s="12">
        <v>32000</v>
      </c>
    </row>
    <row r="717" spans="1:7" ht="15" x14ac:dyDescent="0.25">
      <c r="A717" s="5"/>
      <c r="B717" s="9" t="s">
        <v>227</v>
      </c>
      <c r="C717" s="10">
        <v>2234361518</v>
      </c>
      <c r="D717" s="11">
        <v>0</v>
      </c>
      <c r="E717" s="10">
        <v>0</v>
      </c>
      <c r="F717" s="10">
        <v>105000</v>
      </c>
      <c r="G717" s="10">
        <v>105000</v>
      </c>
    </row>
    <row r="718" spans="1:7" ht="15" x14ac:dyDescent="0.25">
      <c r="A718" s="5"/>
      <c r="B718" s="20" t="s">
        <v>538</v>
      </c>
      <c r="C718" s="21"/>
      <c r="D718" s="22"/>
      <c r="E718" s="21"/>
      <c r="F718" s="21"/>
      <c r="G718" s="23">
        <f>SUM(G698:G717)</f>
        <v>21826408</v>
      </c>
    </row>
    <row r="719" spans="1:7" ht="13.5" x14ac:dyDescent="0.25">
      <c r="A719" s="5"/>
      <c r="B719" s="5"/>
      <c r="C719" s="5"/>
      <c r="D719" s="5"/>
      <c r="E719" s="5"/>
      <c r="F719" s="5"/>
      <c r="G719" s="19"/>
    </row>
    <row r="720" spans="1:7" ht="15" x14ac:dyDescent="0.25">
      <c r="A720" s="2" t="s">
        <v>228</v>
      </c>
      <c r="B720" s="3"/>
      <c r="C720" s="3"/>
      <c r="D720" s="3"/>
      <c r="E720" s="3"/>
      <c r="F720" s="3"/>
      <c r="G720" s="4"/>
    </row>
    <row r="721" spans="1:7" ht="15" x14ac:dyDescent="0.25">
      <c r="A721" s="5"/>
      <c r="B721" s="6" t="s">
        <v>229</v>
      </c>
      <c r="C721" s="12">
        <v>939650851</v>
      </c>
      <c r="D721" s="13">
        <v>0.31590000000000001</v>
      </c>
      <c r="E721" s="12">
        <v>296840</v>
      </c>
      <c r="F721" s="12">
        <v>0</v>
      </c>
      <c r="G721" s="12">
        <v>296840</v>
      </c>
    </row>
    <row r="722" spans="1:7" ht="15" x14ac:dyDescent="0.25">
      <c r="A722" s="5"/>
      <c r="B722" s="9" t="s">
        <v>563</v>
      </c>
      <c r="C722" s="10">
        <v>44971708</v>
      </c>
      <c r="D722" s="11">
        <v>0.25962000000000002</v>
      </c>
      <c r="E722" s="10">
        <v>11676</v>
      </c>
      <c r="F722" s="10">
        <v>0</v>
      </c>
      <c r="G722" s="10">
        <v>11676</v>
      </c>
    </row>
    <row r="723" spans="1:7" ht="15" x14ac:dyDescent="0.25">
      <c r="A723" s="5"/>
      <c r="B723" s="6" t="s">
        <v>564</v>
      </c>
      <c r="C723" s="12">
        <v>966361936</v>
      </c>
      <c r="D723" s="13">
        <v>0.32740000000000002</v>
      </c>
      <c r="E723" s="12">
        <v>316382</v>
      </c>
      <c r="F723" s="12">
        <v>0</v>
      </c>
      <c r="G723" s="12">
        <v>316382</v>
      </c>
    </row>
    <row r="724" spans="1:7" ht="15" x14ac:dyDescent="0.25">
      <c r="A724" s="5"/>
      <c r="B724" s="9" t="s">
        <v>482</v>
      </c>
      <c r="C724" s="10">
        <v>3858934031</v>
      </c>
      <c r="D724" s="11">
        <v>0.24643000000000001</v>
      </c>
      <c r="E724" s="10">
        <v>950971</v>
      </c>
      <c r="F724" s="10">
        <v>0</v>
      </c>
      <c r="G724" s="10">
        <v>950971</v>
      </c>
    </row>
    <row r="725" spans="1:7" ht="15" x14ac:dyDescent="0.25">
      <c r="A725" s="5"/>
      <c r="B725" s="6" t="s">
        <v>230</v>
      </c>
      <c r="C725" s="12">
        <v>8764254233</v>
      </c>
      <c r="D725" s="13">
        <v>0</v>
      </c>
      <c r="E725" s="12">
        <v>0</v>
      </c>
      <c r="F725" s="12">
        <v>5250142</v>
      </c>
      <c r="G725" s="12">
        <v>5250142</v>
      </c>
    </row>
    <row r="726" spans="1:7" ht="15" x14ac:dyDescent="0.25">
      <c r="A726" s="5"/>
      <c r="B726" s="9" t="s">
        <v>64</v>
      </c>
      <c r="C726" s="10">
        <v>9751260503</v>
      </c>
      <c r="D726" s="11">
        <v>0.34928999999999999</v>
      </c>
      <c r="E726" s="10">
        <v>3406029</v>
      </c>
      <c r="F726" s="10">
        <v>2674316</v>
      </c>
      <c r="G726" s="10">
        <v>6080345</v>
      </c>
    </row>
    <row r="727" spans="1:7" ht="15" x14ac:dyDescent="0.25">
      <c r="A727" s="5"/>
      <c r="B727" s="6" t="s">
        <v>399</v>
      </c>
      <c r="C727" s="12">
        <v>12164073222</v>
      </c>
      <c r="D727" s="13">
        <v>9.6750000000000003E-2</v>
      </c>
      <c r="E727" s="12">
        <v>1176814</v>
      </c>
      <c r="F727" s="12">
        <v>0</v>
      </c>
      <c r="G727" s="12">
        <v>1176814</v>
      </c>
    </row>
    <row r="728" spans="1:7" ht="15" x14ac:dyDescent="0.25">
      <c r="A728" s="5"/>
      <c r="B728" s="9" t="s">
        <v>236</v>
      </c>
      <c r="C728" s="10">
        <v>117797864</v>
      </c>
      <c r="D728" s="11">
        <v>0.45621</v>
      </c>
      <c r="E728" s="10">
        <v>53740</v>
      </c>
      <c r="F728" s="10">
        <v>0</v>
      </c>
      <c r="G728" s="10">
        <v>53740</v>
      </c>
    </row>
    <row r="729" spans="1:7" ht="15" x14ac:dyDescent="0.25">
      <c r="A729" s="5"/>
      <c r="B729" s="6" t="s">
        <v>237</v>
      </c>
      <c r="C729" s="12">
        <v>978888085</v>
      </c>
      <c r="D729" s="13">
        <v>0.58440999999999999</v>
      </c>
      <c r="E729" s="12">
        <v>572072</v>
      </c>
      <c r="F729" s="12">
        <v>0</v>
      </c>
      <c r="G729" s="12">
        <v>572072</v>
      </c>
    </row>
    <row r="730" spans="1:7" ht="15" x14ac:dyDescent="0.25">
      <c r="A730" s="5"/>
      <c r="B730" s="9" t="s">
        <v>238</v>
      </c>
      <c r="C730" s="10">
        <v>1080273600</v>
      </c>
      <c r="D730" s="11">
        <v>0.81869999999999998</v>
      </c>
      <c r="E730" s="10">
        <v>884423</v>
      </c>
      <c r="F730" s="10">
        <v>0</v>
      </c>
      <c r="G730" s="10">
        <v>884423</v>
      </c>
    </row>
    <row r="731" spans="1:7" ht="15" x14ac:dyDescent="0.25">
      <c r="A731" s="5"/>
      <c r="B731" s="6" t="s">
        <v>239</v>
      </c>
      <c r="C731" s="12">
        <v>659943801</v>
      </c>
      <c r="D731" s="13">
        <v>0.54486000000000001</v>
      </c>
      <c r="E731" s="12">
        <v>359578</v>
      </c>
      <c r="F731" s="12">
        <v>0</v>
      </c>
      <c r="G731" s="12">
        <v>359578</v>
      </c>
    </row>
    <row r="732" spans="1:7" ht="15" x14ac:dyDescent="0.25">
      <c r="A732" s="5"/>
      <c r="B732" s="9" t="s">
        <v>240</v>
      </c>
      <c r="C732" s="10">
        <v>1058584373</v>
      </c>
      <c r="D732" s="11">
        <v>0.37446000000000002</v>
      </c>
      <c r="E732" s="10">
        <v>396395</v>
      </c>
      <c r="F732" s="10">
        <v>0</v>
      </c>
      <c r="G732" s="10">
        <v>396395</v>
      </c>
    </row>
    <row r="733" spans="1:7" ht="15" x14ac:dyDescent="0.25">
      <c r="A733" s="5"/>
      <c r="B733" s="6" t="s">
        <v>241</v>
      </c>
      <c r="C733" s="12">
        <v>1367331168</v>
      </c>
      <c r="D733" s="13">
        <v>1.05</v>
      </c>
      <c r="E733" s="12">
        <v>1435698</v>
      </c>
      <c r="F733" s="12">
        <v>0</v>
      </c>
      <c r="G733" s="12">
        <v>1435698</v>
      </c>
    </row>
    <row r="734" spans="1:7" ht="15" x14ac:dyDescent="0.25">
      <c r="A734" s="5"/>
      <c r="B734" s="9" t="s">
        <v>319</v>
      </c>
      <c r="C734" s="10">
        <v>484158809</v>
      </c>
      <c r="D734" s="11">
        <v>0.32378000000000001</v>
      </c>
      <c r="E734" s="10">
        <v>156760</v>
      </c>
      <c r="F734" s="10">
        <v>0</v>
      </c>
      <c r="G734" s="10">
        <v>156760</v>
      </c>
    </row>
    <row r="735" spans="1:7" ht="15" x14ac:dyDescent="0.25">
      <c r="A735" s="5"/>
      <c r="B735" s="6" t="s">
        <v>320</v>
      </c>
      <c r="C735" s="12">
        <v>1692987093</v>
      </c>
      <c r="D735" s="13">
        <v>0.92222000000000004</v>
      </c>
      <c r="E735" s="12">
        <v>1561311</v>
      </c>
      <c r="F735" s="12">
        <v>0</v>
      </c>
      <c r="G735" s="12">
        <v>1561311</v>
      </c>
    </row>
    <row r="736" spans="1:7" ht="15" x14ac:dyDescent="0.25">
      <c r="A736" s="5"/>
      <c r="B736" s="9" t="s">
        <v>321</v>
      </c>
      <c r="C736" s="10">
        <v>890918488</v>
      </c>
      <c r="D736" s="11">
        <v>0.38919999999999999</v>
      </c>
      <c r="E736" s="10">
        <v>346742</v>
      </c>
      <c r="F736" s="10">
        <v>192749</v>
      </c>
      <c r="G736" s="10">
        <v>539491</v>
      </c>
    </row>
    <row r="737" spans="1:7" ht="15" x14ac:dyDescent="0.25">
      <c r="A737" s="5"/>
      <c r="B737" s="6" t="s">
        <v>324</v>
      </c>
      <c r="C737" s="12">
        <v>571573963</v>
      </c>
      <c r="D737" s="13">
        <v>0.77614000000000005</v>
      </c>
      <c r="E737" s="12">
        <v>443621</v>
      </c>
      <c r="F737" s="12">
        <v>0</v>
      </c>
      <c r="G737" s="12">
        <v>443621</v>
      </c>
    </row>
    <row r="738" spans="1:7" ht="15" x14ac:dyDescent="0.25">
      <c r="A738" s="5"/>
      <c r="B738" s="9" t="s">
        <v>331</v>
      </c>
      <c r="C738" s="10">
        <v>1661054671</v>
      </c>
      <c r="D738" s="11">
        <v>0.40226000000000001</v>
      </c>
      <c r="E738" s="10">
        <v>668169</v>
      </c>
      <c r="F738" s="10">
        <v>0</v>
      </c>
      <c r="G738" s="10">
        <v>668169</v>
      </c>
    </row>
    <row r="739" spans="1:7" ht="15" x14ac:dyDescent="0.25">
      <c r="A739" s="5"/>
      <c r="B739" s="6" t="s">
        <v>332</v>
      </c>
      <c r="C739" s="12">
        <v>498962418</v>
      </c>
      <c r="D739" s="13">
        <v>0.40801999999999999</v>
      </c>
      <c r="E739" s="12">
        <v>203586</v>
      </c>
      <c r="F739" s="12">
        <v>0</v>
      </c>
      <c r="G739" s="12">
        <v>203586</v>
      </c>
    </row>
    <row r="740" spans="1:7" ht="15" x14ac:dyDescent="0.25">
      <c r="A740" s="5"/>
      <c r="B740" s="9" t="s">
        <v>325</v>
      </c>
      <c r="C740" s="10">
        <v>874447935</v>
      </c>
      <c r="D740" s="11">
        <v>0.61870000000000003</v>
      </c>
      <c r="E740" s="10">
        <v>541025</v>
      </c>
      <c r="F740" s="10">
        <v>0</v>
      </c>
      <c r="G740" s="10">
        <v>541025</v>
      </c>
    </row>
    <row r="741" spans="1:7" ht="15" x14ac:dyDescent="0.25">
      <c r="A741" s="5"/>
      <c r="B741" s="6" t="s">
        <v>330</v>
      </c>
      <c r="C741" s="12">
        <v>798987717</v>
      </c>
      <c r="D741" s="13">
        <v>0.81784000000000001</v>
      </c>
      <c r="E741" s="12">
        <v>653448</v>
      </c>
      <c r="F741" s="12">
        <v>0</v>
      </c>
      <c r="G741" s="12">
        <v>653448</v>
      </c>
    </row>
    <row r="742" spans="1:7" ht="15" x14ac:dyDescent="0.25">
      <c r="A742" s="5"/>
      <c r="B742" s="9" t="s">
        <v>333</v>
      </c>
      <c r="C742" s="10">
        <v>126654729</v>
      </c>
      <c r="D742" s="11">
        <v>0.64105000000000001</v>
      </c>
      <c r="E742" s="10">
        <v>81192</v>
      </c>
      <c r="F742" s="10">
        <v>0</v>
      </c>
      <c r="G742" s="10">
        <v>81192</v>
      </c>
    </row>
    <row r="743" spans="1:7" ht="15" x14ac:dyDescent="0.25">
      <c r="A743" s="5"/>
      <c r="B743" s="6" t="s">
        <v>344</v>
      </c>
      <c r="C743" s="12">
        <v>117342842</v>
      </c>
      <c r="D743" s="13">
        <v>0.47954000000000002</v>
      </c>
      <c r="E743" s="12">
        <v>56271</v>
      </c>
      <c r="F743" s="12">
        <v>17871</v>
      </c>
      <c r="G743" s="12">
        <v>74142</v>
      </c>
    </row>
    <row r="744" spans="1:7" ht="15" x14ac:dyDescent="0.25">
      <c r="A744" s="5"/>
      <c r="B744" s="9" t="s">
        <v>345</v>
      </c>
      <c r="C744" s="10">
        <v>637032771</v>
      </c>
      <c r="D744" s="11">
        <v>0.28269</v>
      </c>
      <c r="E744" s="10">
        <v>180080</v>
      </c>
      <c r="F744" s="10">
        <v>0</v>
      </c>
      <c r="G744" s="10">
        <v>180080</v>
      </c>
    </row>
    <row r="745" spans="1:7" ht="15" x14ac:dyDescent="0.25">
      <c r="A745" s="5"/>
      <c r="B745" s="6" t="s">
        <v>400</v>
      </c>
      <c r="C745" s="12">
        <v>206595023</v>
      </c>
      <c r="D745" s="13">
        <v>0.3271</v>
      </c>
      <c r="E745" s="12">
        <v>67578</v>
      </c>
      <c r="F745" s="12">
        <v>0</v>
      </c>
      <c r="G745" s="12">
        <v>67578</v>
      </c>
    </row>
    <row r="746" spans="1:7" ht="15" x14ac:dyDescent="0.25">
      <c r="A746" s="5"/>
      <c r="B746" s="9" t="s">
        <v>401</v>
      </c>
      <c r="C746" s="10">
        <v>38996280</v>
      </c>
      <c r="D746" s="11">
        <v>0.80206999999999995</v>
      </c>
      <c r="E746" s="10">
        <v>31278</v>
      </c>
      <c r="F746" s="10">
        <v>0</v>
      </c>
      <c r="G746" s="10">
        <v>31278</v>
      </c>
    </row>
    <row r="747" spans="1:7" ht="15" x14ac:dyDescent="0.25">
      <c r="A747" s="5"/>
      <c r="B747" s="6" t="s">
        <v>402</v>
      </c>
      <c r="C747" s="12">
        <v>11081269909</v>
      </c>
      <c r="D747" s="13">
        <v>0.15883</v>
      </c>
      <c r="E747" s="12">
        <v>1760000</v>
      </c>
      <c r="F747" s="12">
        <v>0</v>
      </c>
      <c r="G747" s="12">
        <v>1760000</v>
      </c>
    </row>
    <row r="748" spans="1:7" ht="15" x14ac:dyDescent="0.25">
      <c r="A748" s="5"/>
      <c r="B748" s="9" t="s">
        <v>403</v>
      </c>
      <c r="C748" s="10">
        <v>20942319453</v>
      </c>
      <c r="D748" s="11">
        <v>0.12452000000000001</v>
      </c>
      <c r="E748" s="10">
        <v>2607745</v>
      </c>
      <c r="F748" s="10">
        <v>5300000</v>
      </c>
      <c r="G748" s="10">
        <v>7907745</v>
      </c>
    </row>
    <row r="749" spans="1:7" ht="15" x14ac:dyDescent="0.25">
      <c r="A749" s="5"/>
      <c r="B749" s="6" t="s">
        <v>231</v>
      </c>
      <c r="C749" s="12">
        <v>31983479182</v>
      </c>
      <c r="D749" s="13">
        <v>0.30266999999999999</v>
      </c>
      <c r="E749" s="12">
        <v>9680453</v>
      </c>
      <c r="F749" s="12">
        <v>0</v>
      </c>
      <c r="G749" s="12">
        <v>9680453</v>
      </c>
    </row>
    <row r="750" spans="1:7" ht="15" x14ac:dyDescent="0.25">
      <c r="A750" s="5"/>
      <c r="B750" s="9" t="s">
        <v>404</v>
      </c>
      <c r="C750" s="10">
        <v>40110180</v>
      </c>
      <c r="D750" s="11">
        <v>0.5</v>
      </c>
      <c r="E750" s="10">
        <v>20055</v>
      </c>
      <c r="F750" s="10">
        <v>0</v>
      </c>
      <c r="G750" s="10">
        <v>20055</v>
      </c>
    </row>
    <row r="751" spans="1:7" ht="15" x14ac:dyDescent="0.25">
      <c r="A751" s="5"/>
      <c r="B751" s="6" t="s">
        <v>232</v>
      </c>
      <c r="C751" s="12">
        <v>9013512732</v>
      </c>
      <c r="D751" s="13">
        <v>9.4530000000000003E-2</v>
      </c>
      <c r="E751" s="12">
        <v>852008</v>
      </c>
      <c r="F751" s="12">
        <v>0</v>
      </c>
      <c r="G751" s="12">
        <v>852008</v>
      </c>
    </row>
    <row r="752" spans="1:7" ht="15" x14ac:dyDescent="0.25">
      <c r="A752" s="5"/>
      <c r="B752" s="9" t="s">
        <v>59</v>
      </c>
      <c r="C752" s="10">
        <v>992902347</v>
      </c>
      <c r="D752" s="11">
        <v>4.4609999999999997E-2</v>
      </c>
      <c r="E752" s="10">
        <v>44291</v>
      </c>
      <c r="F752" s="10">
        <v>0</v>
      </c>
      <c r="G752" s="10">
        <v>44291</v>
      </c>
    </row>
    <row r="753" spans="1:7" ht="15" x14ac:dyDescent="0.25">
      <c r="A753" s="5"/>
      <c r="B753" s="6" t="s">
        <v>60</v>
      </c>
      <c r="C753" s="12">
        <v>2983305864</v>
      </c>
      <c r="D753" s="13">
        <v>5.0650000000000001E-2</v>
      </c>
      <c r="E753" s="12">
        <v>151112</v>
      </c>
      <c r="F753" s="12">
        <v>0</v>
      </c>
      <c r="G753" s="12">
        <v>151112</v>
      </c>
    </row>
    <row r="754" spans="1:7" ht="15" x14ac:dyDescent="0.25">
      <c r="A754" s="5"/>
      <c r="B754" s="9" t="s">
        <v>147</v>
      </c>
      <c r="C754" s="10">
        <v>670408671</v>
      </c>
      <c r="D754" s="11">
        <v>2.597E-2</v>
      </c>
      <c r="E754" s="10">
        <v>17408</v>
      </c>
      <c r="F754" s="10">
        <v>0</v>
      </c>
      <c r="G754" s="10">
        <v>17408</v>
      </c>
    </row>
    <row r="755" spans="1:7" ht="15" x14ac:dyDescent="0.25">
      <c r="A755" s="5"/>
      <c r="B755" s="6" t="s">
        <v>148</v>
      </c>
      <c r="C755" s="12">
        <v>1213689916</v>
      </c>
      <c r="D755" s="13">
        <v>2.334E-2</v>
      </c>
      <c r="E755" s="12">
        <v>28331</v>
      </c>
      <c r="F755" s="12">
        <v>0</v>
      </c>
      <c r="G755" s="12">
        <v>28331</v>
      </c>
    </row>
    <row r="756" spans="1:7" ht="15" x14ac:dyDescent="0.25">
      <c r="A756" s="5"/>
      <c r="B756" s="9" t="s">
        <v>233</v>
      </c>
      <c r="C756" s="10">
        <v>966212736</v>
      </c>
      <c r="D756" s="11">
        <v>1.5520000000000001E-2</v>
      </c>
      <c r="E756" s="10">
        <v>15000</v>
      </c>
      <c r="F756" s="10">
        <v>0</v>
      </c>
      <c r="G756" s="10">
        <v>15000</v>
      </c>
    </row>
    <row r="757" spans="1:7" ht="15" x14ac:dyDescent="0.25">
      <c r="A757" s="5"/>
      <c r="B757" s="6" t="s">
        <v>234</v>
      </c>
      <c r="C757" s="12">
        <v>426744502</v>
      </c>
      <c r="D757" s="13">
        <v>3.4139999999999997E-2</v>
      </c>
      <c r="E757" s="12">
        <v>14571</v>
      </c>
      <c r="F757" s="12">
        <v>0</v>
      </c>
      <c r="G757" s="12">
        <v>14571</v>
      </c>
    </row>
    <row r="758" spans="1:7" ht="15" x14ac:dyDescent="0.25">
      <c r="A758" s="5"/>
      <c r="B758" s="2" t="s">
        <v>538</v>
      </c>
      <c r="C758" s="14"/>
      <c r="D758" s="15"/>
      <c r="E758" s="14"/>
      <c r="F758" s="14"/>
      <c r="G758" s="16">
        <f>SUM(G721:G757)</f>
        <v>43477731</v>
      </c>
    </row>
    <row r="759" spans="1:7" ht="13.5" x14ac:dyDescent="0.25">
      <c r="A759" s="5"/>
      <c r="B759" s="5"/>
      <c r="C759" s="5"/>
      <c r="D759" s="5"/>
      <c r="E759" s="5"/>
      <c r="F759" s="5"/>
      <c r="G759" s="19"/>
    </row>
    <row r="760" spans="1:7" ht="15" x14ac:dyDescent="0.25">
      <c r="A760" s="2" t="s">
        <v>235</v>
      </c>
      <c r="B760" s="3"/>
      <c r="C760" s="3"/>
      <c r="D760" s="3"/>
      <c r="E760" s="3"/>
      <c r="F760" s="3"/>
      <c r="G760" s="4"/>
    </row>
    <row r="761" spans="1:7" ht="15" x14ac:dyDescent="0.25">
      <c r="A761" s="5"/>
      <c r="B761" s="6" t="s">
        <v>456</v>
      </c>
      <c r="C761" s="12">
        <v>2714857487</v>
      </c>
      <c r="D761" s="13">
        <v>0.26778999999999997</v>
      </c>
      <c r="E761" s="12">
        <v>727004</v>
      </c>
      <c r="F761" s="12">
        <v>0</v>
      </c>
      <c r="G761" s="12">
        <v>727004</v>
      </c>
    </row>
    <row r="762" spans="1:7" ht="15" x14ac:dyDescent="0.25">
      <c r="A762" s="5"/>
      <c r="B762" s="9" t="s">
        <v>565</v>
      </c>
      <c r="C762" s="10">
        <v>2714857487</v>
      </c>
      <c r="D762" s="11">
        <v>0.33209</v>
      </c>
      <c r="E762" s="10">
        <v>901575</v>
      </c>
      <c r="F762" s="10">
        <v>0</v>
      </c>
      <c r="G762" s="10">
        <v>901575</v>
      </c>
    </row>
    <row r="763" spans="1:7" ht="15" x14ac:dyDescent="0.25">
      <c r="A763" s="5"/>
      <c r="B763" s="6" t="s">
        <v>236</v>
      </c>
      <c r="C763" s="12">
        <v>646670165</v>
      </c>
      <c r="D763" s="13">
        <v>1</v>
      </c>
      <c r="E763" s="12">
        <v>646670</v>
      </c>
      <c r="F763" s="12">
        <v>0</v>
      </c>
      <c r="G763" s="12">
        <v>646670</v>
      </c>
    </row>
    <row r="764" spans="1:7" ht="15" x14ac:dyDescent="0.25">
      <c r="A764" s="5"/>
      <c r="B764" s="9" t="s">
        <v>237</v>
      </c>
      <c r="C764" s="10">
        <v>150838481</v>
      </c>
      <c r="D764" s="11">
        <v>0.59818000000000005</v>
      </c>
      <c r="E764" s="10">
        <v>90229</v>
      </c>
      <c r="F764" s="10">
        <v>0</v>
      </c>
      <c r="G764" s="10">
        <v>90229</v>
      </c>
    </row>
    <row r="765" spans="1:7" ht="15" x14ac:dyDescent="0.25">
      <c r="A765" s="5"/>
      <c r="B765" s="6" t="s">
        <v>238</v>
      </c>
      <c r="C765" s="12">
        <v>330104609</v>
      </c>
      <c r="D765" s="13">
        <v>0.56491000000000002</v>
      </c>
      <c r="E765" s="12">
        <v>186480</v>
      </c>
      <c r="F765" s="12">
        <v>0</v>
      </c>
      <c r="G765" s="12">
        <v>186480</v>
      </c>
    </row>
    <row r="766" spans="1:7" ht="15" x14ac:dyDescent="0.25">
      <c r="A766" s="5"/>
      <c r="B766" s="9" t="s">
        <v>239</v>
      </c>
      <c r="C766" s="10">
        <v>625535273</v>
      </c>
      <c r="D766" s="11">
        <v>0.66229000000000005</v>
      </c>
      <c r="E766" s="10">
        <v>414283</v>
      </c>
      <c r="F766" s="10">
        <v>0</v>
      </c>
      <c r="G766" s="10">
        <v>414283</v>
      </c>
    </row>
    <row r="767" spans="1:7" ht="15" x14ac:dyDescent="0.25">
      <c r="A767" s="5"/>
      <c r="B767" s="6" t="s">
        <v>240</v>
      </c>
      <c r="C767" s="12">
        <v>152622497</v>
      </c>
      <c r="D767" s="13">
        <v>1</v>
      </c>
      <c r="E767" s="12">
        <v>152623</v>
      </c>
      <c r="F767" s="12">
        <v>0</v>
      </c>
      <c r="G767" s="12">
        <v>152623</v>
      </c>
    </row>
    <row r="768" spans="1:7" ht="15" x14ac:dyDescent="0.25">
      <c r="A768" s="5"/>
      <c r="B768" s="9" t="s">
        <v>241</v>
      </c>
      <c r="C768" s="10">
        <v>111936527</v>
      </c>
      <c r="D768" s="11">
        <v>0.98962000000000006</v>
      </c>
      <c r="E768" s="10">
        <v>110775</v>
      </c>
      <c r="F768" s="10">
        <v>0</v>
      </c>
      <c r="G768" s="10">
        <v>110775</v>
      </c>
    </row>
    <row r="769" spans="1:7" ht="15" x14ac:dyDescent="0.25">
      <c r="A769" s="5"/>
      <c r="B769" s="6" t="s">
        <v>319</v>
      </c>
      <c r="C769" s="12">
        <v>52494865</v>
      </c>
      <c r="D769" s="13">
        <v>0.75809000000000004</v>
      </c>
      <c r="E769" s="12">
        <v>39796</v>
      </c>
      <c r="F769" s="12">
        <v>0</v>
      </c>
      <c r="G769" s="12">
        <v>39796</v>
      </c>
    </row>
    <row r="770" spans="1:7" ht="15" x14ac:dyDescent="0.25">
      <c r="A770" s="5"/>
      <c r="B770" s="9" t="s">
        <v>566</v>
      </c>
      <c r="C770" s="10">
        <v>521806900</v>
      </c>
      <c r="D770" s="11">
        <v>0.41186</v>
      </c>
      <c r="E770" s="10">
        <v>214911</v>
      </c>
      <c r="F770" s="10">
        <v>0</v>
      </c>
      <c r="G770" s="10">
        <v>214911</v>
      </c>
    </row>
    <row r="771" spans="1:7" ht="15" x14ac:dyDescent="0.25">
      <c r="A771" s="5"/>
      <c r="B771" s="6" t="s">
        <v>242</v>
      </c>
      <c r="C771" s="12">
        <v>1573181480</v>
      </c>
      <c r="D771" s="13">
        <v>0.23191999999999999</v>
      </c>
      <c r="E771" s="12">
        <v>364850</v>
      </c>
      <c r="F771" s="12">
        <v>0</v>
      </c>
      <c r="G771" s="12">
        <v>364850</v>
      </c>
    </row>
    <row r="772" spans="1:7" ht="15" x14ac:dyDescent="0.25">
      <c r="A772" s="5"/>
      <c r="B772" s="9" t="s">
        <v>530</v>
      </c>
      <c r="C772" s="10">
        <v>2714857487</v>
      </c>
      <c r="D772" s="11">
        <v>0.22070999999999999</v>
      </c>
      <c r="E772" s="10">
        <v>599200</v>
      </c>
      <c r="F772" s="10">
        <v>0</v>
      </c>
      <c r="G772" s="10">
        <v>599200</v>
      </c>
    </row>
    <row r="773" spans="1:7" ht="15" x14ac:dyDescent="0.25">
      <c r="A773" s="5"/>
      <c r="B773" s="6" t="s">
        <v>567</v>
      </c>
      <c r="C773" s="12">
        <v>2714857487</v>
      </c>
      <c r="D773" s="13">
        <v>0.37575999999999998</v>
      </c>
      <c r="E773" s="12">
        <v>1020139</v>
      </c>
      <c r="F773" s="12">
        <v>0</v>
      </c>
      <c r="G773" s="12">
        <v>1020139</v>
      </c>
    </row>
    <row r="774" spans="1:7" ht="15" x14ac:dyDescent="0.25">
      <c r="A774" s="5"/>
      <c r="B774" s="9" t="s">
        <v>453</v>
      </c>
      <c r="C774" s="10">
        <v>292821453</v>
      </c>
      <c r="D774" s="11">
        <v>0.13835</v>
      </c>
      <c r="E774" s="10">
        <v>40513</v>
      </c>
      <c r="F774" s="10">
        <v>0</v>
      </c>
      <c r="G774" s="10">
        <v>40513</v>
      </c>
    </row>
    <row r="775" spans="1:7" ht="15" x14ac:dyDescent="0.25">
      <c r="A775" s="5"/>
      <c r="B775" s="6" t="s">
        <v>568</v>
      </c>
      <c r="C775" s="12">
        <v>2714857487</v>
      </c>
      <c r="D775" s="13">
        <v>5.4870000000000002E-2</v>
      </c>
      <c r="E775" s="12">
        <v>148960</v>
      </c>
      <c r="F775" s="12">
        <v>0</v>
      </c>
      <c r="G775" s="12">
        <v>148960</v>
      </c>
    </row>
    <row r="776" spans="1:7" ht="15" x14ac:dyDescent="0.25">
      <c r="A776" s="5"/>
      <c r="B776" s="2" t="s">
        <v>538</v>
      </c>
      <c r="C776" s="14"/>
      <c r="D776" s="15"/>
      <c r="E776" s="14"/>
      <c r="F776" s="14"/>
      <c r="G776" s="16">
        <f>SUM(G761:G775)</f>
        <v>5658008</v>
      </c>
    </row>
    <row r="777" spans="1:7" ht="13.5" x14ac:dyDescent="0.25">
      <c r="A777" s="5"/>
      <c r="B777" s="5"/>
      <c r="C777" s="5"/>
      <c r="D777" s="5"/>
      <c r="E777" s="5"/>
      <c r="F777" s="5"/>
      <c r="G777" s="19"/>
    </row>
    <row r="778" spans="1:7" ht="15" x14ac:dyDescent="0.25">
      <c r="A778" s="2" t="s">
        <v>243</v>
      </c>
      <c r="B778" s="3"/>
      <c r="C778" s="3"/>
      <c r="D778" s="3"/>
      <c r="E778" s="3"/>
      <c r="F778" s="3"/>
      <c r="G778" s="4"/>
    </row>
    <row r="779" spans="1:7" ht="15" x14ac:dyDescent="0.25">
      <c r="A779" s="5"/>
      <c r="B779" s="6" t="s">
        <v>81</v>
      </c>
      <c r="C779" s="12">
        <v>176461478105</v>
      </c>
      <c r="D779" s="13">
        <v>0.32429999999999998</v>
      </c>
      <c r="E779" s="12">
        <v>57227002</v>
      </c>
      <c r="F779" s="12">
        <v>0</v>
      </c>
      <c r="G779" s="12">
        <v>57227002</v>
      </c>
    </row>
    <row r="780" spans="1:7" ht="15" x14ac:dyDescent="0.25">
      <c r="A780" s="5"/>
      <c r="B780" s="9" t="s">
        <v>531</v>
      </c>
      <c r="C780" s="10">
        <v>7876354008</v>
      </c>
      <c r="D780" s="11">
        <v>0.2581</v>
      </c>
      <c r="E780" s="10">
        <v>2032887</v>
      </c>
      <c r="F780" s="10">
        <v>238527</v>
      </c>
      <c r="G780" s="10">
        <v>2271414</v>
      </c>
    </row>
    <row r="781" spans="1:7" ht="15" x14ac:dyDescent="0.25">
      <c r="A781" s="5"/>
      <c r="B781" s="6" t="s">
        <v>23</v>
      </c>
      <c r="C781" s="12">
        <v>31042072884</v>
      </c>
      <c r="D781" s="13">
        <v>0.16877</v>
      </c>
      <c r="E781" s="12">
        <v>5238870</v>
      </c>
      <c r="F781" s="12">
        <v>0</v>
      </c>
      <c r="G781" s="12">
        <v>5238870</v>
      </c>
    </row>
    <row r="782" spans="1:7" ht="15" x14ac:dyDescent="0.25">
      <c r="A782" s="5"/>
      <c r="B782" s="9" t="s">
        <v>24</v>
      </c>
      <c r="C782" s="10">
        <v>53713297393</v>
      </c>
      <c r="D782" s="11">
        <v>4.87E-2</v>
      </c>
      <c r="E782" s="10">
        <v>2615785</v>
      </c>
      <c r="F782" s="10">
        <v>0</v>
      </c>
      <c r="G782" s="10">
        <v>2615785</v>
      </c>
    </row>
    <row r="783" spans="1:7" ht="15" x14ac:dyDescent="0.25">
      <c r="A783" s="5"/>
      <c r="B783" s="6" t="s">
        <v>191</v>
      </c>
      <c r="C783" s="12">
        <v>8424647567</v>
      </c>
      <c r="D783" s="13">
        <v>0.19395999999999999</v>
      </c>
      <c r="E783" s="12">
        <v>1634058</v>
      </c>
      <c r="F783" s="12">
        <v>3085668</v>
      </c>
      <c r="G783" s="12">
        <v>4719726</v>
      </c>
    </row>
    <row r="784" spans="1:7" ht="15" x14ac:dyDescent="0.25">
      <c r="A784" s="5"/>
      <c r="B784" s="9" t="s">
        <v>239</v>
      </c>
      <c r="C784" s="10">
        <v>7763207063</v>
      </c>
      <c r="D784" s="11">
        <v>1.5</v>
      </c>
      <c r="E784" s="10">
        <v>11644811</v>
      </c>
      <c r="F784" s="10">
        <v>0</v>
      </c>
      <c r="G784" s="10">
        <v>11644811</v>
      </c>
    </row>
    <row r="785" spans="1:7" ht="15" x14ac:dyDescent="0.25">
      <c r="A785" s="5"/>
      <c r="B785" s="6" t="s">
        <v>240</v>
      </c>
      <c r="C785" s="12">
        <v>2069276463</v>
      </c>
      <c r="D785" s="13">
        <v>1.5</v>
      </c>
      <c r="E785" s="12">
        <v>3048199</v>
      </c>
      <c r="F785" s="12">
        <v>594653</v>
      </c>
      <c r="G785" s="12">
        <v>3642852</v>
      </c>
    </row>
    <row r="786" spans="1:7" ht="15" x14ac:dyDescent="0.25">
      <c r="A786" s="5"/>
      <c r="B786" s="9" t="s">
        <v>324</v>
      </c>
      <c r="C786" s="10">
        <v>2633234254</v>
      </c>
      <c r="D786" s="11">
        <v>0.96184999999999998</v>
      </c>
      <c r="E786" s="10">
        <v>2532767</v>
      </c>
      <c r="F786" s="10">
        <v>0</v>
      </c>
      <c r="G786" s="10">
        <v>2532767</v>
      </c>
    </row>
    <row r="787" spans="1:7" ht="15" x14ac:dyDescent="0.25">
      <c r="A787" s="5"/>
      <c r="B787" s="6" t="s">
        <v>333</v>
      </c>
      <c r="C787" s="12">
        <v>686799728</v>
      </c>
      <c r="D787" s="13">
        <v>1.5</v>
      </c>
      <c r="E787" s="12">
        <v>1030200</v>
      </c>
      <c r="F787" s="12">
        <v>0</v>
      </c>
      <c r="G787" s="12">
        <v>1030200</v>
      </c>
    </row>
    <row r="788" spans="1:7" ht="15" x14ac:dyDescent="0.25">
      <c r="A788" s="5"/>
      <c r="B788" s="9" t="s">
        <v>344</v>
      </c>
      <c r="C788" s="10">
        <v>878688292</v>
      </c>
      <c r="D788" s="11">
        <v>0.72240000000000004</v>
      </c>
      <c r="E788" s="10">
        <v>634767</v>
      </c>
      <c r="F788" s="10">
        <v>0</v>
      </c>
      <c r="G788" s="10">
        <v>634767</v>
      </c>
    </row>
    <row r="789" spans="1:7" ht="15" x14ac:dyDescent="0.25">
      <c r="A789" s="5"/>
      <c r="B789" s="6" t="s">
        <v>345</v>
      </c>
      <c r="C789" s="12">
        <v>2964252652</v>
      </c>
      <c r="D789" s="13">
        <v>1.28</v>
      </c>
      <c r="E789" s="12">
        <v>3794243</v>
      </c>
      <c r="F789" s="12">
        <v>0</v>
      </c>
      <c r="G789" s="12">
        <v>3794243</v>
      </c>
    </row>
    <row r="790" spans="1:7" ht="15" x14ac:dyDescent="0.25">
      <c r="A790" s="5"/>
      <c r="B790" s="9" t="s">
        <v>400</v>
      </c>
      <c r="C790" s="10">
        <v>955394080</v>
      </c>
      <c r="D790" s="11">
        <v>1.40909</v>
      </c>
      <c r="E790" s="10">
        <v>1225120</v>
      </c>
      <c r="F790" s="10">
        <v>89068</v>
      </c>
      <c r="G790" s="10">
        <v>1314188</v>
      </c>
    </row>
    <row r="791" spans="1:7" ht="15" x14ac:dyDescent="0.25">
      <c r="A791" s="5"/>
      <c r="B791" s="6" t="s">
        <v>389</v>
      </c>
      <c r="C791" s="12">
        <v>1964339050</v>
      </c>
      <c r="D791" s="13">
        <v>0.91712000000000005</v>
      </c>
      <c r="E791" s="12">
        <v>1801528</v>
      </c>
      <c r="F791" s="12">
        <v>0</v>
      </c>
      <c r="G791" s="12">
        <v>1801528</v>
      </c>
    </row>
    <row r="792" spans="1:7" ht="15" x14ac:dyDescent="0.25">
      <c r="A792" s="5"/>
      <c r="B792" s="9" t="s">
        <v>390</v>
      </c>
      <c r="C792" s="10">
        <v>1382869234</v>
      </c>
      <c r="D792" s="11">
        <v>1.0695699999999999</v>
      </c>
      <c r="E792" s="10">
        <v>1479069</v>
      </c>
      <c r="F792" s="10">
        <v>0</v>
      </c>
      <c r="G792" s="10">
        <v>1479069</v>
      </c>
    </row>
    <row r="793" spans="1:7" ht="15" x14ac:dyDescent="0.25">
      <c r="A793" s="5"/>
      <c r="B793" s="6" t="s">
        <v>401</v>
      </c>
      <c r="C793" s="12">
        <v>574388720</v>
      </c>
      <c r="D793" s="13">
        <v>0.80206999999999995</v>
      </c>
      <c r="E793" s="12">
        <v>460699</v>
      </c>
      <c r="F793" s="12">
        <v>0</v>
      </c>
      <c r="G793" s="12">
        <v>460699</v>
      </c>
    </row>
    <row r="794" spans="1:7" ht="15" x14ac:dyDescent="0.25">
      <c r="A794" s="5"/>
      <c r="B794" s="9" t="s">
        <v>392</v>
      </c>
      <c r="C794" s="10">
        <v>205934774</v>
      </c>
      <c r="D794" s="11">
        <v>0.63202000000000003</v>
      </c>
      <c r="E794" s="10">
        <v>130156</v>
      </c>
      <c r="F794" s="10">
        <v>0</v>
      </c>
      <c r="G794" s="10">
        <v>130156</v>
      </c>
    </row>
    <row r="795" spans="1:7" ht="15" x14ac:dyDescent="0.25">
      <c r="A795" s="5"/>
      <c r="B795" s="6" t="s">
        <v>393</v>
      </c>
      <c r="C795" s="12">
        <v>980148770</v>
      </c>
      <c r="D795" s="13">
        <v>1.5</v>
      </c>
      <c r="E795" s="12">
        <v>1470223</v>
      </c>
      <c r="F795" s="12">
        <v>59593</v>
      </c>
      <c r="G795" s="12">
        <v>1529816</v>
      </c>
    </row>
    <row r="796" spans="1:7" ht="15" x14ac:dyDescent="0.25">
      <c r="A796" s="5"/>
      <c r="B796" s="9" t="s">
        <v>394</v>
      </c>
      <c r="C796" s="10">
        <v>139512124</v>
      </c>
      <c r="D796" s="11">
        <v>0.86672000000000005</v>
      </c>
      <c r="E796" s="10">
        <v>120918</v>
      </c>
      <c r="F796" s="10">
        <v>0</v>
      </c>
      <c r="G796" s="10">
        <v>120918</v>
      </c>
    </row>
    <row r="797" spans="1:7" ht="15" x14ac:dyDescent="0.25">
      <c r="A797" s="5"/>
      <c r="B797" s="6" t="s">
        <v>244</v>
      </c>
      <c r="C797" s="12">
        <v>28609155412</v>
      </c>
      <c r="D797" s="13">
        <v>0.18839</v>
      </c>
      <c r="E797" s="12">
        <v>5389768</v>
      </c>
      <c r="F797" s="12">
        <v>0</v>
      </c>
      <c r="G797" s="12">
        <v>5389768</v>
      </c>
    </row>
    <row r="798" spans="1:7" ht="15" x14ac:dyDescent="0.25">
      <c r="A798" s="5"/>
      <c r="B798" s="9" t="s">
        <v>245</v>
      </c>
      <c r="C798" s="10">
        <v>9130461265</v>
      </c>
      <c r="D798" s="11">
        <v>6.8470000000000003E-2</v>
      </c>
      <c r="E798" s="10">
        <v>625156</v>
      </c>
      <c r="F798" s="10">
        <v>0</v>
      </c>
      <c r="G798" s="10">
        <v>625156</v>
      </c>
    </row>
    <row r="799" spans="1:7" ht="15" x14ac:dyDescent="0.25">
      <c r="A799" s="5"/>
      <c r="B799" s="6" t="s">
        <v>92</v>
      </c>
      <c r="C799" s="12">
        <v>7845927663</v>
      </c>
      <c r="D799" s="13">
        <v>0.36897999999999997</v>
      </c>
      <c r="E799" s="12">
        <v>2894978</v>
      </c>
      <c r="F799" s="12">
        <v>0</v>
      </c>
      <c r="G799" s="12">
        <v>2894978</v>
      </c>
    </row>
    <row r="800" spans="1:7" ht="15" x14ac:dyDescent="0.25">
      <c r="A800" s="5"/>
      <c r="B800" s="9" t="s">
        <v>93</v>
      </c>
      <c r="C800" s="10">
        <v>2082306333</v>
      </c>
      <c r="D800" s="11">
        <v>0.5</v>
      </c>
      <c r="E800" s="10">
        <v>1041153</v>
      </c>
      <c r="F800" s="10">
        <v>0</v>
      </c>
      <c r="G800" s="10">
        <v>1041153</v>
      </c>
    </row>
    <row r="801" spans="1:7" ht="15" x14ac:dyDescent="0.25">
      <c r="A801" s="5"/>
      <c r="B801" s="6" t="s">
        <v>154</v>
      </c>
      <c r="C801" s="12">
        <v>2639750054</v>
      </c>
      <c r="D801" s="13">
        <v>0.22</v>
      </c>
      <c r="E801" s="12">
        <v>580745</v>
      </c>
      <c r="F801" s="12">
        <v>0</v>
      </c>
      <c r="G801" s="12">
        <v>580745</v>
      </c>
    </row>
    <row r="802" spans="1:7" ht="15" x14ac:dyDescent="0.25">
      <c r="A802" s="5"/>
      <c r="B802" s="9" t="s">
        <v>156</v>
      </c>
      <c r="C802" s="10">
        <v>700326328</v>
      </c>
      <c r="D802" s="11">
        <v>0.46096999999999999</v>
      </c>
      <c r="E802" s="10">
        <v>322828</v>
      </c>
      <c r="F802" s="10">
        <v>0</v>
      </c>
      <c r="G802" s="10">
        <v>322828</v>
      </c>
    </row>
    <row r="803" spans="1:7" ht="15" x14ac:dyDescent="0.25">
      <c r="A803" s="5"/>
      <c r="B803" s="6" t="s">
        <v>157</v>
      </c>
      <c r="C803" s="12">
        <v>3037181752</v>
      </c>
      <c r="D803" s="13">
        <v>0.44418999999999997</v>
      </c>
      <c r="E803" s="12">
        <v>1349097</v>
      </c>
      <c r="F803" s="12">
        <v>0</v>
      </c>
      <c r="G803" s="12">
        <v>1349097</v>
      </c>
    </row>
    <row r="804" spans="1:7" ht="15" x14ac:dyDescent="0.25">
      <c r="A804" s="5"/>
      <c r="B804" s="9" t="s">
        <v>248</v>
      </c>
      <c r="C804" s="10">
        <v>889371314</v>
      </c>
      <c r="D804" s="11">
        <v>0.35441</v>
      </c>
      <c r="E804" s="10">
        <v>315203</v>
      </c>
      <c r="F804" s="10">
        <v>0</v>
      </c>
      <c r="G804" s="10">
        <v>315203</v>
      </c>
    </row>
    <row r="805" spans="1:7" ht="15" x14ac:dyDescent="0.25">
      <c r="A805" s="5"/>
      <c r="B805" s="6" t="s">
        <v>204</v>
      </c>
      <c r="C805" s="12">
        <v>2021108550</v>
      </c>
      <c r="D805" s="13">
        <v>0.39399000000000001</v>
      </c>
      <c r="E805" s="12">
        <v>796299</v>
      </c>
      <c r="F805" s="12">
        <v>0</v>
      </c>
      <c r="G805" s="12">
        <v>796299</v>
      </c>
    </row>
    <row r="806" spans="1:7" ht="15" x14ac:dyDescent="0.25">
      <c r="A806" s="5"/>
      <c r="B806" s="9" t="s">
        <v>249</v>
      </c>
      <c r="C806" s="10">
        <v>1411733734</v>
      </c>
      <c r="D806" s="11">
        <v>0.24787999999999999</v>
      </c>
      <c r="E806" s="10">
        <v>349942</v>
      </c>
      <c r="F806" s="10">
        <v>0</v>
      </c>
      <c r="G806" s="10">
        <v>349942</v>
      </c>
    </row>
    <row r="807" spans="1:7" ht="15" x14ac:dyDescent="0.25">
      <c r="A807" s="5"/>
      <c r="B807" s="6" t="s">
        <v>251</v>
      </c>
      <c r="C807" s="12">
        <v>597430720</v>
      </c>
      <c r="D807" s="13">
        <v>0.5</v>
      </c>
      <c r="E807" s="12">
        <v>298715</v>
      </c>
      <c r="F807" s="12">
        <v>0</v>
      </c>
      <c r="G807" s="12">
        <v>298715</v>
      </c>
    </row>
    <row r="808" spans="1:7" ht="15" x14ac:dyDescent="0.25">
      <c r="A808" s="5"/>
      <c r="B808" s="9" t="s">
        <v>252</v>
      </c>
      <c r="C808" s="10">
        <v>219345574</v>
      </c>
      <c r="D808" s="11">
        <v>0.28613</v>
      </c>
      <c r="E808" s="10">
        <v>62761</v>
      </c>
      <c r="F808" s="10">
        <v>0</v>
      </c>
      <c r="G808" s="10">
        <v>62761</v>
      </c>
    </row>
    <row r="809" spans="1:7" ht="15" x14ac:dyDescent="0.25">
      <c r="A809" s="5"/>
      <c r="B809" s="6" t="s">
        <v>205</v>
      </c>
      <c r="C809" s="12">
        <v>1006277670</v>
      </c>
      <c r="D809" s="13">
        <v>0.5</v>
      </c>
      <c r="E809" s="12">
        <v>503139</v>
      </c>
      <c r="F809" s="12">
        <v>0</v>
      </c>
      <c r="G809" s="12">
        <v>503139</v>
      </c>
    </row>
    <row r="810" spans="1:7" ht="15" x14ac:dyDescent="0.25">
      <c r="A810" s="5"/>
      <c r="B810" s="9" t="s">
        <v>253</v>
      </c>
      <c r="C810" s="10">
        <v>15352931155</v>
      </c>
      <c r="D810" s="11">
        <v>0.28327999999999998</v>
      </c>
      <c r="E810" s="10">
        <v>4349145</v>
      </c>
      <c r="F810" s="10">
        <v>0</v>
      </c>
      <c r="G810" s="10">
        <v>4349145</v>
      </c>
    </row>
    <row r="811" spans="1:7" ht="15" x14ac:dyDescent="0.25">
      <c r="A811" s="5"/>
      <c r="B811" s="6" t="s">
        <v>254</v>
      </c>
      <c r="C811" s="12">
        <v>26907976118</v>
      </c>
      <c r="D811" s="13">
        <v>0.37418000000000001</v>
      </c>
      <c r="E811" s="12">
        <v>10068304</v>
      </c>
      <c r="F811" s="12">
        <v>0</v>
      </c>
      <c r="G811" s="12">
        <v>10068304</v>
      </c>
    </row>
    <row r="812" spans="1:7" ht="15" x14ac:dyDescent="0.25">
      <c r="A812" s="5"/>
      <c r="B812" s="9" t="s">
        <v>255</v>
      </c>
      <c r="C812" s="10">
        <v>17195681450</v>
      </c>
      <c r="D812" s="11">
        <v>0.5</v>
      </c>
      <c r="E812" s="10">
        <v>8597841</v>
      </c>
      <c r="F812" s="10">
        <v>0</v>
      </c>
      <c r="G812" s="10">
        <v>8597841</v>
      </c>
    </row>
    <row r="813" spans="1:7" ht="15" x14ac:dyDescent="0.25">
      <c r="A813" s="5"/>
      <c r="B813" s="6" t="s">
        <v>256</v>
      </c>
      <c r="C813" s="12">
        <v>7410005099</v>
      </c>
      <c r="D813" s="13">
        <v>0.27529999999999999</v>
      </c>
      <c r="E813" s="12">
        <v>2039955</v>
      </c>
      <c r="F813" s="12">
        <v>0</v>
      </c>
      <c r="G813" s="12">
        <v>2039955</v>
      </c>
    </row>
    <row r="814" spans="1:7" ht="15" x14ac:dyDescent="0.25">
      <c r="A814" s="5"/>
      <c r="B814" s="9" t="s">
        <v>257</v>
      </c>
      <c r="C814" s="10">
        <v>7876354008</v>
      </c>
      <c r="D814" s="11">
        <v>0.26500000000000001</v>
      </c>
      <c r="E814" s="10">
        <v>2087234</v>
      </c>
      <c r="F814" s="10">
        <v>0</v>
      </c>
      <c r="G814" s="10">
        <v>2087234</v>
      </c>
    </row>
    <row r="815" spans="1:7" ht="15" x14ac:dyDescent="0.25">
      <c r="A815" s="5"/>
      <c r="B815" s="6" t="s">
        <v>405</v>
      </c>
      <c r="C815" s="12">
        <v>10681449341</v>
      </c>
      <c r="D815" s="13">
        <v>0.5</v>
      </c>
      <c r="E815" s="12">
        <v>5340725</v>
      </c>
      <c r="F815" s="12">
        <v>0</v>
      </c>
      <c r="G815" s="12">
        <v>5340725</v>
      </c>
    </row>
    <row r="816" spans="1:7" ht="15" x14ac:dyDescent="0.25">
      <c r="A816" s="5"/>
      <c r="B816" s="9" t="s">
        <v>454</v>
      </c>
      <c r="C816" s="10">
        <v>59968804950</v>
      </c>
      <c r="D816" s="11">
        <v>0.34767999999999999</v>
      </c>
      <c r="E816" s="10">
        <v>20850000</v>
      </c>
      <c r="F816" s="10">
        <v>0</v>
      </c>
      <c r="G816" s="10">
        <v>20850000</v>
      </c>
    </row>
    <row r="817" spans="1:7" ht="15" x14ac:dyDescent="0.25">
      <c r="A817" s="5"/>
      <c r="B817" s="6" t="s">
        <v>506</v>
      </c>
      <c r="C817" s="12">
        <v>41743518558</v>
      </c>
      <c r="D817" s="13">
        <v>0.28514</v>
      </c>
      <c r="E817" s="12">
        <v>11902910</v>
      </c>
      <c r="F817" s="12">
        <v>0</v>
      </c>
      <c r="G817" s="12">
        <v>11902910</v>
      </c>
    </row>
    <row r="818" spans="1:7" ht="15" x14ac:dyDescent="0.25">
      <c r="A818" s="5"/>
      <c r="B818" s="9" t="s">
        <v>483</v>
      </c>
      <c r="C818" s="10">
        <v>21053211581</v>
      </c>
      <c r="D818" s="11">
        <v>2.9899999999999999E-2</v>
      </c>
      <c r="E818" s="10">
        <v>629491</v>
      </c>
      <c r="F818" s="10">
        <v>0</v>
      </c>
      <c r="G818" s="10">
        <v>629491</v>
      </c>
    </row>
    <row r="819" spans="1:7" ht="15" x14ac:dyDescent="0.25">
      <c r="A819" s="5"/>
      <c r="B819" s="6" t="s">
        <v>406</v>
      </c>
      <c r="C819" s="12">
        <v>10505737941</v>
      </c>
      <c r="D819" s="13">
        <v>1.3564499999999999</v>
      </c>
      <c r="E819" s="12">
        <v>14250479</v>
      </c>
      <c r="F819" s="12">
        <v>0</v>
      </c>
      <c r="G819" s="12">
        <v>14250479</v>
      </c>
    </row>
    <row r="820" spans="1:7" ht="15" x14ac:dyDescent="0.25">
      <c r="A820" s="5"/>
      <c r="B820" s="9" t="s">
        <v>440</v>
      </c>
      <c r="C820" s="10">
        <v>59924440250</v>
      </c>
      <c r="D820" s="11">
        <v>0.81769999999999998</v>
      </c>
      <c r="E820" s="10">
        <v>49000000</v>
      </c>
      <c r="F820" s="10">
        <v>0</v>
      </c>
      <c r="G820" s="10">
        <v>49000000</v>
      </c>
    </row>
    <row r="821" spans="1:7" ht="15" x14ac:dyDescent="0.25">
      <c r="A821" s="5"/>
      <c r="B821" s="6" t="s">
        <v>484</v>
      </c>
      <c r="C821" s="12">
        <v>16935809030</v>
      </c>
      <c r="D821" s="13">
        <v>1.09684</v>
      </c>
      <c r="E821" s="12">
        <v>18575841</v>
      </c>
      <c r="F821" s="12">
        <v>0</v>
      </c>
      <c r="G821" s="12">
        <v>18575841</v>
      </c>
    </row>
    <row r="822" spans="1:7" ht="15" x14ac:dyDescent="0.25">
      <c r="A822" s="5"/>
      <c r="B822" s="9" t="s">
        <v>507</v>
      </c>
      <c r="C822" s="10">
        <v>41406584558</v>
      </c>
      <c r="D822" s="11">
        <v>1.5</v>
      </c>
      <c r="E822" s="10">
        <v>62109877</v>
      </c>
      <c r="F822" s="10">
        <v>0</v>
      </c>
      <c r="G822" s="10">
        <v>62109877</v>
      </c>
    </row>
    <row r="823" spans="1:7" ht="15" x14ac:dyDescent="0.25">
      <c r="A823" s="5"/>
      <c r="B823" s="6" t="s">
        <v>428</v>
      </c>
      <c r="C823" s="12">
        <v>130774575926</v>
      </c>
      <c r="D823" s="13">
        <v>0.16483</v>
      </c>
      <c r="E823" s="12">
        <v>21555573</v>
      </c>
      <c r="F823" s="12">
        <v>0</v>
      </c>
      <c r="G823" s="12">
        <v>21555573</v>
      </c>
    </row>
    <row r="824" spans="1:7" ht="15" x14ac:dyDescent="0.25">
      <c r="A824" s="5"/>
      <c r="B824" s="2" t="s">
        <v>538</v>
      </c>
      <c r="C824" s="14"/>
      <c r="D824" s="15"/>
      <c r="E824" s="14"/>
      <c r="F824" s="14"/>
      <c r="G824" s="16">
        <f>SUM(G779:G823)</f>
        <v>348075970</v>
      </c>
    </row>
    <row r="825" spans="1:7" ht="13.5" x14ac:dyDescent="0.25">
      <c r="A825" s="5"/>
      <c r="B825" s="5"/>
      <c r="C825" s="5"/>
      <c r="D825" s="5"/>
      <c r="E825" s="5"/>
      <c r="F825" s="5"/>
      <c r="G825" s="19"/>
    </row>
    <row r="826" spans="1:7" ht="15" x14ac:dyDescent="0.25">
      <c r="A826" s="2" t="s">
        <v>258</v>
      </c>
      <c r="B826" s="3"/>
      <c r="C826" s="3"/>
      <c r="D826" s="3"/>
      <c r="E826" s="3"/>
      <c r="F826" s="3"/>
      <c r="G826" s="4"/>
    </row>
    <row r="827" spans="1:7" ht="15" x14ac:dyDescent="0.25">
      <c r="A827" s="5"/>
      <c r="B827" s="6" t="s">
        <v>259</v>
      </c>
      <c r="C827" s="12">
        <v>53168663765</v>
      </c>
      <c r="D827" s="13">
        <v>0.33368999999999999</v>
      </c>
      <c r="E827" s="12">
        <v>17741830</v>
      </c>
      <c r="F827" s="12">
        <v>0</v>
      </c>
      <c r="G827" s="12">
        <v>17741830</v>
      </c>
    </row>
    <row r="828" spans="1:7" ht="15" x14ac:dyDescent="0.25">
      <c r="A828" s="5"/>
      <c r="B828" s="9" t="s">
        <v>236</v>
      </c>
      <c r="C828" s="10">
        <v>25104620690</v>
      </c>
      <c r="D828" s="11">
        <v>1.47807</v>
      </c>
      <c r="E828" s="10">
        <v>37106314</v>
      </c>
      <c r="F828" s="10">
        <v>24999845</v>
      </c>
      <c r="G828" s="10">
        <v>62106159</v>
      </c>
    </row>
    <row r="829" spans="1:7" ht="15" x14ac:dyDescent="0.25">
      <c r="A829" s="5"/>
      <c r="B829" s="6" t="s">
        <v>237</v>
      </c>
      <c r="C829" s="12">
        <v>99570563</v>
      </c>
      <c r="D829" s="13">
        <v>0.60907</v>
      </c>
      <c r="E829" s="12">
        <v>60645</v>
      </c>
      <c r="F829" s="12">
        <v>0</v>
      </c>
      <c r="G829" s="12">
        <v>60645</v>
      </c>
    </row>
    <row r="830" spans="1:7" ht="15" x14ac:dyDescent="0.25">
      <c r="A830" s="5"/>
      <c r="B830" s="9" t="s">
        <v>238</v>
      </c>
      <c r="C830" s="10">
        <v>5056986899</v>
      </c>
      <c r="D830" s="11">
        <v>1.5</v>
      </c>
      <c r="E830" s="10">
        <v>7585480</v>
      </c>
      <c r="F830" s="10">
        <v>0</v>
      </c>
      <c r="G830" s="10">
        <v>7585480</v>
      </c>
    </row>
    <row r="831" spans="1:7" ht="15" x14ac:dyDescent="0.25">
      <c r="A831" s="5"/>
      <c r="B831" s="6" t="s">
        <v>239</v>
      </c>
      <c r="C831" s="12">
        <v>7210316706</v>
      </c>
      <c r="D831" s="13">
        <v>1.1579200000000001</v>
      </c>
      <c r="E831" s="12">
        <v>8348953</v>
      </c>
      <c r="F831" s="12">
        <v>723869</v>
      </c>
      <c r="G831" s="12">
        <v>9072822</v>
      </c>
    </row>
    <row r="832" spans="1:7" ht="15" x14ac:dyDescent="0.25">
      <c r="A832" s="5"/>
      <c r="B832" s="9" t="s">
        <v>240</v>
      </c>
      <c r="C832" s="10">
        <v>269987892</v>
      </c>
      <c r="D832" s="11">
        <v>0.53024000000000004</v>
      </c>
      <c r="E832" s="10">
        <v>143159</v>
      </c>
      <c r="F832" s="10">
        <v>0</v>
      </c>
      <c r="G832" s="10">
        <v>143159</v>
      </c>
    </row>
    <row r="833" spans="1:7" ht="15" x14ac:dyDescent="0.25">
      <c r="A833" s="5"/>
      <c r="B833" s="6" t="s">
        <v>320</v>
      </c>
      <c r="C833" s="12">
        <v>5912331875</v>
      </c>
      <c r="D833" s="13">
        <v>1.3007500000000001</v>
      </c>
      <c r="E833" s="12">
        <v>7690464</v>
      </c>
      <c r="F833" s="12">
        <v>2797668</v>
      </c>
      <c r="G833" s="12">
        <v>10488132</v>
      </c>
    </row>
    <row r="834" spans="1:7" ht="15" x14ac:dyDescent="0.25">
      <c r="A834" s="5"/>
      <c r="B834" s="9" t="s">
        <v>321</v>
      </c>
      <c r="C834" s="10">
        <v>8951775907</v>
      </c>
      <c r="D834" s="11">
        <v>0.65619000000000005</v>
      </c>
      <c r="E834" s="10">
        <v>5874109</v>
      </c>
      <c r="F834" s="10">
        <v>11491629</v>
      </c>
      <c r="G834" s="10">
        <v>17365738</v>
      </c>
    </row>
    <row r="835" spans="1:7" ht="15" x14ac:dyDescent="0.25">
      <c r="A835" s="5"/>
      <c r="B835" s="6" t="s">
        <v>324</v>
      </c>
      <c r="C835" s="12">
        <v>1559002590</v>
      </c>
      <c r="D835" s="13">
        <v>1.5</v>
      </c>
      <c r="E835" s="12">
        <v>2338504</v>
      </c>
      <c r="F835" s="12">
        <v>0</v>
      </c>
      <c r="G835" s="12">
        <v>2338504</v>
      </c>
    </row>
    <row r="836" spans="1:7" ht="15" x14ac:dyDescent="0.25">
      <c r="A836" s="5"/>
      <c r="B836" s="9" t="s">
        <v>331</v>
      </c>
      <c r="C836" s="10">
        <v>136978193</v>
      </c>
      <c r="D836" s="11">
        <v>0.79237999999999997</v>
      </c>
      <c r="E836" s="10">
        <v>108539</v>
      </c>
      <c r="F836" s="10">
        <v>0</v>
      </c>
      <c r="G836" s="10">
        <v>108539</v>
      </c>
    </row>
    <row r="837" spans="1:7" ht="15" x14ac:dyDescent="0.25">
      <c r="A837" s="5"/>
      <c r="B837" s="6" t="s">
        <v>332</v>
      </c>
      <c r="C837" s="12">
        <v>81222208</v>
      </c>
      <c r="D837" s="13">
        <v>0.60199999999999998</v>
      </c>
      <c r="E837" s="12">
        <v>48896</v>
      </c>
      <c r="F837" s="12">
        <v>0</v>
      </c>
      <c r="G837" s="12">
        <v>48896</v>
      </c>
    </row>
    <row r="838" spans="1:7" ht="15" x14ac:dyDescent="0.25">
      <c r="A838" s="5"/>
      <c r="B838" s="9" t="s">
        <v>325</v>
      </c>
      <c r="C838" s="10">
        <v>697297442</v>
      </c>
      <c r="D838" s="11">
        <v>0.78854000000000002</v>
      </c>
      <c r="E838" s="10">
        <v>549850</v>
      </c>
      <c r="F838" s="10">
        <v>81603</v>
      </c>
      <c r="G838" s="10">
        <v>631453</v>
      </c>
    </row>
    <row r="839" spans="1:7" ht="15" x14ac:dyDescent="0.25">
      <c r="A839" s="5"/>
      <c r="B839" s="6" t="s">
        <v>152</v>
      </c>
      <c r="C839" s="12">
        <v>99613293</v>
      </c>
      <c r="D839" s="13">
        <v>0.43081000000000003</v>
      </c>
      <c r="E839" s="12">
        <v>42915</v>
      </c>
      <c r="F839" s="12">
        <v>0</v>
      </c>
      <c r="G839" s="12">
        <v>42915</v>
      </c>
    </row>
    <row r="840" spans="1:7" ht="15" x14ac:dyDescent="0.25">
      <c r="A840" s="5"/>
      <c r="B840" s="9" t="s">
        <v>92</v>
      </c>
      <c r="C840" s="10">
        <v>7212294486</v>
      </c>
      <c r="D840" s="11">
        <v>0.48759999999999998</v>
      </c>
      <c r="E840" s="10">
        <v>3516702</v>
      </c>
      <c r="F840" s="10">
        <v>0</v>
      </c>
      <c r="G840" s="10">
        <v>3516702</v>
      </c>
    </row>
    <row r="841" spans="1:7" ht="15" x14ac:dyDescent="0.25">
      <c r="A841" s="5"/>
      <c r="B841" s="6" t="s">
        <v>246</v>
      </c>
      <c r="C841" s="12">
        <v>5912698185</v>
      </c>
      <c r="D841" s="13">
        <v>0.27150000000000002</v>
      </c>
      <c r="E841" s="12">
        <v>1605269</v>
      </c>
      <c r="F841" s="12">
        <v>0</v>
      </c>
      <c r="G841" s="12">
        <v>1605269</v>
      </c>
    </row>
    <row r="842" spans="1:7" ht="15" x14ac:dyDescent="0.25">
      <c r="A842" s="5"/>
      <c r="B842" s="9" t="s">
        <v>260</v>
      </c>
      <c r="C842" s="10">
        <v>35011799812</v>
      </c>
      <c r="D842" s="11">
        <v>0.49464000000000002</v>
      </c>
      <c r="E842" s="10">
        <v>17318372</v>
      </c>
      <c r="F842" s="10">
        <v>0</v>
      </c>
      <c r="G842" s="10">
        <v>17318372</v>
      </c>
    </row>
    <row r="843" spans="1:7" ht="15" x14ac:dyDescent="0.25">
      <c r="A843" s="5"/>
      <c r="B843" s="6" t="s">
        <v>261</v>
      </c>
      <c r="C843" s="12">
        <v>137314253</v>
      </c>
      <c r="D843" s="13">
        <v>0.29076999999999997</v>
      </c>
      <c r="E843" s="12">
        <v>39927</v>
      </c>
      <c r="F843" s="12">
        <v>0</v>
      </c>
      <c r="G843" s="12">
        <v>39927</v>
      </c>
    </row>
    <row r="844" spans="1:7" ht="15" x14ac:dyDescent="0.25">
      <c r="A844" s="5"/>
      <c r="B844" s="9" t="s">
        <v>247</v>
      </c>
      <c r="C844" s="10">
        <v>81283208</v>
      </c>
      <c r="D844" s="11">
        <v>0.41099000000000002</v>
      </c>
      <c r="E844" s="10">
        <v>33407</v>
      </c>
      <c r="F844" s="10">
        <v>0</v>
      </c>
      <c r="G844" s="10">
        <v>33407</v>
      </c>
    </row>
    <row r="845" spans="1:7" ht="15" x14ac:dyDescent="0.25">
      <c r="A845" s="5"/>
      <c r="B845" s="6" t="s">
        <v>202</v>
      </c>
      <c r="C845" s="12">
        <v>697570132</v>
      </c>
      <c r="D845" s="13">
        <v>0.32641999999999999</v>
      </c>
      <c r="E845" s="12">
        <v>227702</v>
      </c>
      <c r="F845" s="12">
        <v>0</v>
      </c>
      <c r="G845" s="12">
        <v>227702</v>
      </c>
    </row>
    <row r="846" spans="1:7" ht="15" x14ac:dyDescent="0.25">
      <c r="A846" s="5"/>
      <c r="B846" s="9" t="s">
        <v>154</v>
      </c>
      <c r="C846" s="10">
        <v>1559265990</v>
      </c>
      <c r="D846" s="11">
        <v>0.36016999999999999</v>
      </c>
      <c r="E846" s="10">
        <v>561594</v>
      </c>
      <c r="F846" s="10">
        <v>0</v>
      </c>
      <c r="G846" s="10">
        <v>561594</v>
      </c>
    </row>
    <row r="847" spans="1:7" ht="15" x14ac:dyDescent="0.25">
      <c r="A847" s="5"/>
      <c r="B847" s="6" t="s">
        <v>262</v>
      </c>
      <c r="C847" s="12">
        <v>1206232878</v>
      </c>
      <c r="D847" s="13">
        <v>0.30895</v>
      </c>
      <c r="E847" s="12">
        <v>372670</v>
      </c>
      <c r="F847" s="12">
        <v>0</v>
      </c>
      <c r="G847" s="12">
        <v>372670</v>
      </c>
    </row>
    <row r="848" spans="1:7" ht="15" x14ac:dyDescent="0.25">
      <c r="A848" s="5"/>
      <c r="B848" s="9" t="s">
        <v>263</v>
      </c>
      <c r="C848" s="10">
        <v>67893321</v>
      </c>
      <c r="D848" s="11">
        <v>0.46083000000000002</v>
      </c>
      <c r="E848" s="10">
        <v>31287</v>
      </c>
      <c r="F848" s="10">
        <v>0</v>
      </c>
      <c r="G848" s="10">
        <v>31287</v>
      </c>
    </row>
    <row r="849" spans="1:7" ht="15" x14ac:dyDescent="0.25">
      <c r="A849" s="5"/>
      <c r="B849" s="6" t="s">
        <v>519</v>
      </c>
      <c r="C849" s="12">
        <v>11919511</v>
      </c>
      <c r="D849" s="13">
        <v>0</v>
      </c>
      <c r="E849" s="12">
        <v>0</v>
      </c>
      <c r="F849" s="12">
        <v>5614</v>
      </c>
      <c r="G849" s="12">
        <v>5614</v>
      </c>
    </row>
    <row r="850" spans="1:7" ht="15" x14ac:dyDescent="0.25">
      <c r="A850" s="5"/>
      <c r="B850" s="9" t="s">
        <v>264</v>
      </c>
      <c r="C850" s="10">
        <v>191957473</v>
      </c>
      <c r="D850" s="11">
        <v>5.432E-2</v>
      </c>
      <c r="E850" s="10">
        <v>10427</v>
      </c>
      <c r="F850" s="10">
        <v>0</v>
      </c>
      <c r="G850" s="10">
        <v>10427</v>
      </c>
    </row>
    <row r="851" spans="1:7" ht="15" x14ac:dyDescent="0.25">
      <c r="A851" s="5"/>
      <c r="B851" s="6" t="s">
        <v>407</v>
      </c>
      <c r="C851" s="12">
        <v>492998763</v>
      </c>
      <c r="D851" s="13">
        <v>1.427E-2</v>
      </c>
      <c r="E851" s="12">
        <v>7035</v>
      </c>
      <c r="F851" s="12">
        <v>0</v>
      </c>
      <c r="G851" s="12">
        <v>7035</v>
      </c>
    </row>
    <row r="852" spans="1:7" ht="15" x14ac:dyDescent="0.25">
      <c r="A852" s="5"/>
      <c r="B852" s="9" t="s">
        <v>265</v>
      </c>
      <c r="C852" s="10">
        <v>3136967844</v>
      </c>
      <c r="D852" s="11">
        <v>8.5199999999999998E-3</v>
      </c>
      <c r="E852" s="10">
        <v>26715</v>
      </c>
      <c r="F852" s="10">
        <v>0</v>
      </c>
      <c r="G852" s="10">
        <v>26715</v>
      </c>
    </row>
    <row r="853" spans="1:7" ht="15" x14ac:dyDescent="0.25">
      <c r="A853" s="5"/>
      <c r="B853" s="6" t="s">
        <v>266</v>
      </c>
      <c r="C853" s="12">
        <v>307714191</v>
      </c>
      <c r="D853" s="13">
        <v>3.1370000000000002E-2</v>
      </c>
      <c r="E853" s="12">
        <v>9653</v>
      </c>
      <c r="F853" s="12">
        <v>0</v>
      </c>
      <c r="G853" s="12">
        <v>9653</v>
      </c>
    </row>
    <row r="854" spans="1:7" ht="15" x14ac:dyDescent="0.25">
      <c r="A854" s="5"/>
      <c r="B854" s="9" t="s">
        <v>267</v>
      </c>
      <c r="C854" s="10">
        <v>683618269</v>
      </c>
      <c r="D854" s="11">
        <v>3.3869999999999997E-2</v>
      </c>
      <c r="E854" s="10">
        <v>23151</v>
      </c>
      <c r="F854" s="10">
        <v>0</v>
      </c>
      <c r="G854" s="10">
        <v>23151</v>
      </c>
    </row>
    <row r="855" spans="1:7" ht="15" x14ac:dyDescent="0.25">
      <c r="A855" s="5"/>
      <c r="B855" s="6" t="s">
        <v>268</v>
      </c>
      <c r="C855" s="12">
        <v>52382865</v>
      </c>
      <c r="D855" s="13">
        <v>4.5019999999999998E-2</v>
      </c>
      <c r="E855" s="12">
        <v>2358</v>
      </c>
      <c r="F855" s="12">
        <v>0</v>
      </c>
      <c r="G855" s="12">
        <v>2358</v>
      </c>
    </row>
    <row r="856" spans="1:7" ht="15" x14ac:dyDescent="0.25">
      <c r="A856" s="5"/>
      <c r="B856" s="2" t="s">
        <v>538</v>
      </c>
      <c r="C856" s="14"/>
      <c r="D856" s="15"/>
      <c r="E856" s="14"/>
      <c r="F856" s="14"/>
      <c r="G856" s="16">
        <f>SUM(G827:G855)</f>
        <v>151526155</v>
      </c>
    </row>
    <row r="857" spans="1:7" ht="13.5" x14ac:dyDescent="0.25">
      <c r="A857" s="5"/>
      <c r="B857" s="5"/>
      <c r="C857" s="5"/>
      <c r="D857" s="5"/>
      <c r="E857" s="5"/>
      <c r="F857" s="5"/>
      <c r="G857" s="19"/>
    </row>
    <row r="858" spans="1:7" ht="15" x14ac:dyDescent="0.25">
      <c r="A858" s="2" t="s">
        <v>269</v>
      </c>
      <c r="B858" s="3"/>
      <c r="C858" s="3"/>
      <c r="D858" s="3"/>
      <c r="E858" s="3"/>
      <c r="F858" s="3"/>
      <c r="G858" s="4"/>
    </row>
    <row r="859" spans="1:7" ht="15" x14ac:dyDescent="0.25">
      <c r="A859" s="5"/>
      <c r="B859" s="6" t="s">
        <v>270</v>
      </c>
      <c r="C859" s="12">
        <v>5862640962</v>
      </c>
      <c r="D859" s="13">
        <v>0.28522999999999998</v>
      </c>
      <c r="E859" s="12">
        <v>1672219</v>
      </c>
      <c r="F859" s="12">
        <v>0</v>
      </c>
      <c r="G859" s="12">
        <v>1672219</v>
      </c>
    </row>
    <row r="860" spans="1:7" ht="15" x14ac:dyDescent="0.25">
      <c r="A860" s="5"/>
      <c r="B860" s="9" t="s">
        <v>236</v>
      </c>
      <c r="C860" s="10">
        <v>2604302097</v>
      </c>
      <c r="D860" s="11">
        <v>1.1599200000000001</v>
      </c>
      <c r="E860" s="10">
        <v>3020769</v>
      </c>
      <c r="F860" s="10">
        <v>495536</v>
      </c>
      <c r="G860" s="10">
        <v>3516305</v>
      </c>
    </row>
    <row r="861" spans="1:7" ht="15" x14ac:dyDescent="0.25">
      <c r="A861" s="5"/>
      <c r="B861" s="6" t="s">
        <v>237</v>
      </c>
      <c r="C861" s="12">
        <v>130737641</v>
      </c>
      <c r="D861" s="13">
        <v>0.90059999999999996</v>
      </c>
      <c r="E861" s="12">
        <v>117742</v>
      </c>
      <c r="F861" s="12">
        <v>0</v>
      </c>
      <c r="G861" s="12">
        <v>117742</v>
      </c>
    </row>
    <row r="862" spans="1:7" ht="15" x14ac:dyDescent="0.25">
      <c r="A862" s="5"/>
      <c r="B862" s="9" t="s">
        <v>238</v>
      </c>
      <c r="C862" s="10">
        <v>346718192</v>
      </c>
      <c r="D862" s="11">
        <v>0.37339</v>
      </c>
      <c r="E862" s="10">
        <v>129461</v>
      </c>
      <c r="F862" s="10">
        <v>0</v>
      </c>
      <c r="G862" s="10">
        <v>129461</v>
      </c>
    </row>
    <row r="863" spans="1:7" ht="15" x14ac:dyDescent="0.25">
      <c r="A863" s="5"/>
      <c r="B863" s="6" t="s">
        <v>239</v>
      </c>
      <c r="C863" s="12">
        <v>543979047</v>
      </c>
      <c r="D863" s="13">
        <v>0.86421000000000003</v>
      </c>
      <c r="E863" s="12">
        <v>470114</v>
      </c>
      <c r="F863" s="12">
        <v>0</v>
      </c>
      <c r="G863" s="12">
        <v>470114</v>
      </c>
    </row>
    <row r="864" spans="1:7" ht="15" x14ac:dyDescent="0.25">
      <c r="A864" s="5"/>
      <c r="B864" s="9" t="s">
        <v>240</v>
      </c>
      <c r="C864" s="10">
        <v>278810021</v>
      </c>
      <c r="D864" s="11">
        <v>0.87619000000000002</v>
      </c>
      <c r="E864" s="10">
        <v>244290</v>
      </c>
      <c r="F864" s="10">
        <v>0</v>
      </c>
      <c r="G864" s="10">
        <v>244290</v>
      </c>
    </row>
    <row r="865" spans="1:7" ht="15" x14ac:dyDescent="0.25">
      <c r="A865" s="5"/>
      <c r="B865" s="6" t="s">
        <v>241</v>
      </c>
      <c r="C865" s="12">
        <v>314161119</v>
      </c>
      <c r="D865" s="13">
        <v>0.86509999999999998</v>
      </c>
      <c r="E865" s="12">
        <v>271780</v>
      </c>
      <c r="F865" s="12">
        <v>0</v>
      </c>
      <c r="G865" s="12">
        <v>271780</v>
      </c>
    </row>
    <row r="866" spans="1:7" ht="15" x14ac:dyDescent="0.25">
      <c r="A866" s="5"/>
      <c r="B866" s="9" t="s">
        <v>319</v>
      </c>
      <c r="C866" s="10">
        <v>200523030</v>
      </c>
      <c r="D866" s="11">
        <v>0.73104000000000002</v>
      </c>
      <c r="E866" s="10">
        <v>146590</v>
      </c>
      <c r="F866" s="10">
        <v>0</v>
      </c>
      <c r="G866" s="10">
        <v>146590</v>
      </c>
    </row>
    <row r="867" spans="1:7" ht="15" x14ac:dyDescent="0.25">
      <c r="A867" s="5"/>
      <c r="B867" s="6" t="s">
        <v>320</v>
      </c>
      <c r="C867" s="12">
        <v>128898099</v>
      </c>
      <c r="D867" s="13">
        <v>0.47921999999999998</v>
      </c>
      <c r="E867" s="12">
        <v>61771</v>
      </c>
      <c r="F867" s="12">
        <v>0</v>
      </c>
      <c r="G867" s="12">
        <v>61771</v>
      </c>
    </row>
    <row r="868" spans="1:7" ht="15" x14ac:dyDescent="0.25">
      <c r="A868" s="5"/>
      <c r="B868" s="9" t="s">
        <v>321</v>
      </c>
      <c r="C868" s="10">
        <v>56604414</v>
      </c>
      <c r="D868" s="11">
        <v>0.41959999999999997</v>
      </c>
      <c r="E868" s="10">
        <v>23751</v>
      </c>
      <c r="F868" s="10">
        <v>0</v>
      </c>
      <c r="G868" s="10">
        <v>23751</v>
      </c>
    </row>
    <row r="869" spans="1:7" ht="15" x14ac:dyDescent="0.25">
      <c r="A869" s="5"/>
      <c r="B869" s="6" t="s">
        <v>324</v>
      </c>
      <c r="C869" s="12">
        <v>80746870</v>
      </c>
      <c r="D869" s="13">
        <v>0.57033</v>
      </c>
      <c r="E869" s="12">
        <v>46052</v>
      </c>
      <c r="F869" s="12">
        <v>0</v>
      </c>
      <c r="G869" s="12">
        <v>46052</v>
      </c>
    </row>
    <row r="870" spans="1:7" ht="15" x14ac:dyDescent="0.25">
      <c r="A870" s="5"/>
      <c r="B870" s="9" t="s">
        <v>331</v>
      </c>
      <c r="C870" s="10">
        <v>139281027</v>
      </c>
      <c r="D870" s="11">
        <v>0.52639999999999998</v>
      </c>
      <c r="E870" s="10">
        <v>73318</v>
      </c>
      <c r="F870" s="10">
        <v>0</v>
      </c>
      <c r="G870" s="10">
        <v>73318</v>
      </c>
    </row>
    <row r="871" spans="1:7" ht="15" x14ac:dyDescent="0.25">
      <c r="A871" s="5"/>
      <c r="B871" s="6" t="s">
        <v>332</v>
      </c>
      <c r="C871" s="12">
        <v>134892738</v>
      </c>
      <c r="D871" s="13">
        <v>0.80784</v>
      </c>
      <c r="E871" s="12">
        <v>108972</v>
      </c>
      <c r="F871" s="12">
        <v>0</v>
      </c>
      <c r="G871" s="12">
        <v>108972</v>
      </c>
    </row>
    <row r="872" spans="1:7" ht="15" x14ac:dyDescent="0.25">
      <c r="A872" s="5"/>
      <c r="B872" s="9" t="s">
        <v>325</v>
      </c>
      <c r="C872" s="10">
        <v>123322360</v>
      </c>
      <c r="D872" s="11">
        <v>0.74568000000000001</v>
      </c>
      <c r="E872" s="10">
        <v>91958</v>
      </c>
      <c r="F872" s="10">
        <v>31181</v>
      </c>
      <c r="G872" s="10">
        <v>123139</v>
      </c>
    </row>
    <row r="873" spans="1:7" ht="15" x14ac:dyDescent="0.25">
      <c r="A873" s="5"/>
      <c r="B873" s="6" t="s">
        <v>408</v>
      </c>
      <c r="C873" s="12">
        <v>2623658777</v>
      </c>
      <c r="D873" s="13">
        <v>0.22495000000000001</v>
      </c>
      <c r="E873" s="12">
        <v>590192</v>
      </c>
      <c r="F873" s="12">
        <v>0</v>
      </c>
      <c r="G873" s="12">
        <v>590192</v>
      </c>
    </row>
    <row r="874" spans="1:7" ht="15" x14ac:dyDescent="0.25">
      <c r="A874" s="5"/>
      <c r="B874" s="9" t="s">
        <v>508</v>
      </c>
      <c r="C874" s="10">
        <v>548720352</v>
      </c>
      <c r="D874" s="11">
        <v>0.18362000000000001</v>
      </c>
      <c r="E874" s="10">
        <v>100756</v>
      </c>
      <c r="F874" s="10">
        <v>0</v>
      </c>
      <c r="G874" s="10">
        <v>100756</v>
      </c>
    </row>
    <row r="875" spans="1:7" ht="15" x14ac:dyDescent="0.25">
      <c r="A875" s="5"/>
      <c r="B875" s="6" t="s">
        <v>534</v>
      </c>
      <c r="C875" s="12">
        <v>200944383</v>
      </c>
      <c r="D875" s="13">
        <v>0.45463999999999999</v>
      </c>
      <c r="E875" s="12">
        <v>91357</v>
      </c>
      <c r="F875" s="12">
        <v>0</v>
      </c>
      <c r="G875" s="12">
        <v>91357</v>
      </c>
    </row>
    <row r="876" spans="1:7" ht="15" x14ac:dyDescent="0.25">
      <c r="A876" s="5"/>
      <c r="B876" s="9" t="s">
        <v>409</v>
      </c>
      <c r="C876" s="10">
        <v>130100712</v>
      </c>
      <c r="D876" s="11">
        <v>0.18817999999999999</v>
      </c>
      <c r="E876" s="10">
        <v>24482</v>
      </c>
      <c r="F876" s="10">
        <v>0</v>
      </c>
      <c r="G876" s="10">
        <v>24482</v>
      </c>
    </row>
    <row r="877" spans="1:7" ht="15" x14ac:dyDescent="0.25">
      <c r="A877" s="5"/>
      <c r="B877" s="6" t="s">
        <v>569</v>
      </c>
      <c r="C877" s="12">
        <v>146718485</v>
      </c>
      <c r="D877" s="13">
        <v>0.21146000000000001</v>
      </c>
      <c r="E877" s="12">
        <v>31025</v>
      </c>
      <c r="F877" s="12">
        <v>0</v>
      </c>
      <c r="G877" s="12">
        <v>31025</v>
      </c>
    </row>
    <row r="878" spans="1:7" ht="15" x14ac:dyDescent="0.25">
      <c r="A878" s="5"/>
      <c r="B878" s="2" t="s">
        <v>538</v>
      </c>
      <c r="C878" s="14"/>
      <c r="D878" s="15"/>
      <c r="E878" s="14"/>
      <c r="F878" s="14"/>
      <c r="G878" s="16">
        <f>SUM(G859:G877)</f>
        <v>7843316</v>
      </c>
    </row>
    <row r="879" spans="1:7" ht="13.5" x14ac:dyDescent="0.25">
      <c r="A879" s="5"/>
      <c r="B879" s="5"/>
      <c r="C879" s="5"/>
      <c r="D879" s="5"/>
      <c r="E879" s="5"/>
      <c r="F879" s="5"/>
      <c r="G879" s="19"/>
    </row>
    <row r="880" spans="1:7" ht="15" x14ac:dyDescent="0.25">
      <c r="A880" s="2" t="s">
        <v>271</v>
      </c>
      <c r="B880" s="3"/>
      <c r="C880" s="3"/>
      <c r="D880" s="3"/>
      <c r="E880" s="3"/>
      <c r="F880" s="3"/>
      <c r="G880" s="4"/>
    </row>
    <row r="881" spans="1:7" ht="15" x14ac:dyDescent="0.25">
      <c r="A881" s="5"/>
      <c r="B881" s="6" t="s">
        <v>71</v>
      </c>
      <c r="C881" s="12">
        <v>59970587483</v>
      </c>
      <c r="D881" s="13">
        <v>0.23402000000000001</v>
      </c>
      <c r="E881" s="12">
        <v>14034557</v>
      </c>
      <c r="F881" s="12">
        <v>0</v>
      </c>
      <c r="G881" s="12">
        <v>14034557</v>
      </c>
    </row>
    <row r="882" spans="1:7" ht="15" x14ac:dyDescent="0.25">
      <c r="A882" s="5"/>
      <c r="B882" s="9" t="s">
        <v>272</v>
      </c>
      <c r="C882" s="10">
        <v>20416044016</v>
      </c>
      <c r="D882" s="11">
        <v>1.5</v>
      </c>
      <c r="E882" s="10">
        <v>30624066</v>
      </c>
      <c r="F882" s="10">
        <v>1246217</v>
      </c>
      <c r="G882" s="10">
        <v>31870283</v>
      </c>
    </row>
    <row r="883" spans="1:7" ht="15" x14ac:dyDescent="0.25">
      <c r="A883" s="5"/>
      <c r="B883" s="6" t="s">
        <v>273</v>
      </c>
      <c r="C883" s="12">
        <v>2470363952</v>
      </c>
      <c r="D883" s="13">
        <v>1.5</v>
      </c>
      <c r="E883" s="12">
        <v>3705546</v>
      </c>
      <c r="F883" s="12">
        <v>0</v>
      </c>
      <c r="G883" s="12">
        <v>3705546</v>
      </c>
    </row>
    <row r="884" spans="1:7" ht="15" x14ac:dyDescent="0.25">
      <c r="A884" s="5"/>
      <c r="B884" s="9" t="s">
        <v>274</v>
      </c>
      <c r="C884" s="10">
        <v>3354907817</v>
      </c>
      <c r="D884" s="11">
        <v>1.5</v>
      </c>
      <c r="E884" s="10">
        <v>5032362</v>
      </c>
      <c r="F884" s="10">
        <v>0</v>
      </c>
      <c r="G884" s="10">
        <v>5032362</v>
      </c>
    </row>
    <row r="885" spans="1:7" ht="15" x14ac:dyDescent="0.25">
      <c r="A885" s="5"/>
      <c r="B885" s="6" t="s">
        <v>485</v>
      </c>
      <c r="C885" s="12">
        <v>3718855803</v>
      </c>
      <c r="D885" s="13">
        <v>1.4581299999999999</v>
      </c>
      <c r="E885" s="12">
        <v>5422583</v>
      </c>
      <c r="F885" s="12">
        <v>3008533</v>
      </c>
      <c r="G885" s="12">
        <v>8431116</v>
      </c>
    </row>
    <row r="886" spans="1:7" ht="15" x14ac:dyDescent="0.25">
      <c r="A886" s="5"/>
      <c r="B886" s="9" t="s">
        <v>486</v>
      </c>
      <c r="C886" s="10">
        <v>1957764613</v>
      </c>
      <c r="D886" s="11">
        <v>0</v>
      </c>
      <c r="E886" s="10">
        <v>0</v>
      </c>
      <c r="F886" s="10">
        <v>369960</v>
      </c>
      <c r="G886" s="10">
        <v>369960</v>
      </c>
    </row>
    <row r="887" spans="1:7" ht="15" x14ac:dyDescent="0.25">
      <c r="A887" s="5"/>
      <c r="B887" s="6" t="s">
        <v>441</v>
      </c>
      <c r="C887" s="12">
        <v>1200416431</v>
      </c>
      <c r="D887" s="13">
        <v>1.20608</v>
      </c>
      <c r="E887" s="12">
        <v>1447804</v>
      </c>
      <c r="F887" s="12">
        <v>322389</v>
      </c>
      <c r="G887" s="12">
        <v>1770193</v>
      </c>
    </row>
    <row r="888" spans="1:7" ht="15" x14ac:dyDescent="0.25">
      <c r="A888" s="5"/>
      <c r="B888" s="9" t="s">
        <v>275</v>
      </c>
      <c r="C888" s="10">
        <v>1771494424</v>
      </c>
      <c r="D888" s="11">
        <v>1.34087</v>
      </c>
      <c r="E888" s="10">
        <v>2375340</v>
      </c>
      <c r="F888" s="10">
        <v>0</v>
      </c>
      <c r="G888" s="10">
        <v>2375340</v>
      </c>
    </row>
    <row r="889" spans="1:7" ht="15" x14ac:dyDescent="0.25">
      <c r="A889" s="5"/>
      <c r="B889" s="6" t="s">
        <v>276</v>
      </c>
      <c r="C889" s="12">
        <v>717726899</v>
      </c>
      <c r="D889" s="13">
        <v>1.13992</v>
      </c>
      <c r="E889" s="12">
        <v>818153</v>
      </c>
      <c r="F889" s="12">
        <v>0</v>
      </c>
      <c r="G889" s="12">
        <v>818153</v>
      </c>
    </row>
    <row r="890" spans="1:7" ht="15" x14ac:dyDescent="0.25">
      <c r="A890" s="5"/>
      <c r="B890" s="9" t="s">
        <v>442</v>
      </c>
      <c r="C890" s="10">
        <v>11080548579</v>
      </c>
      <c r="D890" s="11">
        <v>0.50307000000000002</v>
      </c>
      <c r="E890" s="10">
        <v>5574246</v>
      </c>
      <c r="F890" s="10">
        <v>0</v>
      </c>
      <c r="G890" s="10">
        <v>5574246</v>
      </c>
    </row>
    <row r="891" spans="1:7" ht="15" x14ac:dyDescent="0.25">
      <c r="A891" s="5"/>
      <c r="B891" s="6" t="s">
        <v>487</v>
      </c>
      <c r="C891" s="12">
        <v>6278504073</v>
      </c>
      <c r="D891" s="13">
        <v>0.32941999999999999</v>
      </c>
      <c r="E891" s="12">
        <v>2068236</v>
      </c>
      <c r="F891" s="12">
        <v>0</v>
      </c>
      <c r="G891" s="12">
        <v>2068236</v>
      </c>
    </row>
    <row r="892" spans="1:7" ht="15" x14ac:dyDescent="0.25">
      <c r="A892" s="5"/>
      <c r="B892" s="9" t="s">
        <v>509</v>
      </c>
      <c r="C892" s="10">
        <v>59970587483</v>
      </c>
      <c r="D892" s="11">
        <v>0.13089999999999999</v>
      </c>
      <c r="E892" s="10">
        <v>7849960</v>
      </c>
      <c r="F892" s="10">
        <v>0</v>
      </c>
      <c r="G892" s="10">
        <v>7849960</v>
      </c>
    </row>
    <row r="893" spans="1:7" ht="15" x14ac:dyDescent="0.25">
      <c r="A893" s="5"/>
      <c r="B893" s="6" t="s">
        <v>410</v>
      </c>
      <c r="C893" s="12">
        <v>59970587483</v>
      </c>
      <c r="D893" s="13">
        <v>5.6100000000000004E-3</v>
      </c>
      <c r="E893" s="12">
        <v>336422</v>
      </c>
      <c r="F893" s="12">
        <v>0</v>
      </c>
      <c r="G893" s="12">
        <v>336422</v>
      </c>
    </row>
    <row r="894" spans="1:7" ht="15" x14ac:dyDescent="0.25">
      <c r="A894" s="5"/>
      <c r="B894" s="9" t="s">
        <v>277</v>
      </c>
      <c r="C894" s="10">
        <v>59970587483</v>
      </c>
      <c r="D894" s="11">
        <v>0.32523000000000002</v>
      </c>
      <c r="E894" s="10">
        <v>19437176</v>
      </c>
      <c r="F894" s="10">
        <v>0</v>
      </c>
      <c r="G894" s="10">
        <v>19437176</v>
      </c>
    </row>
    <row r="895" spans="1:7" ht="15" x14ac:dyDescent="0.25">
      <c r="A895" s="5"/>
      <c r="B895" s="6" t="s">
        <v>278</v>
      </c>
      <c r="C895" s="12">
        <v>236655216</v>
      </c>
      <c r="D895" s="13">
        <v>0.40921999999999997</v>
      </c>
      <c r="E895" s="12">
        <v>96845</v>
      </c>
      <c r="F895" s="12">
        <v>0</v>
      </c>
      <c r="G895" s="12">
        <v>96845</v>
      </c>
    </row>
    <row r="896" spans="1:7" ht="15" x14ac:dyDescent="0.25">
      <c r="A896" s="5"/>
      <c r="B896" s="9" t="s">
        <v>279</v>
      </c>
      <c r="C896" s="10">
        <v>2177327586</v>
      </c>
      <c r="D896" s="11">
        <v>3.2280000000000003E-2</v>
      </c>
      <c r="E896" s="10">
        <v>70291</v>
      </c>
      <c r="F896" s="10">
        <v>0</v>
      </c>
      <c r="G896" s="10">
        <v>70291</v>
      </c>
    </row>
    <row r="897" spans="1:7" ht="15" x14ac:dyDescent="0.25">
      <c r="A897" s="5"/>
      <c r="B897" s="6" t="s">
        <v>280</v>
      </c>
      <c r="C897" s="12">
        <v>4315387687</v>
      </c>
      <c r="D897" s="13">
        <v>4.521E-2</v>
      </c>
      <c r="E897" s="12">
        <v>195109</v>
      </c>
      <c r="F897" s="12">
        <v>0</v>
      </c>
      <c r="G897" s="12">
        <v>195109</v>
      </c>
    </row>
    <row r="898" spans="1:7" ht="15" x14ac:dyDescent="0.25">
      <c r="A898" s="5"/>
      <c r="B898" s="9" t="s">
        <v>411</v>
      </c>
      <c r="C898" s="10">
        <v>4493401708</v>
      </c>
      <c r="D898" s="11">
        <v>1.5</v>
      </c>
      <c r="E898" s="10">
        <v>6740103</v>
      </c>
      <c r="F898" s="10">
        <v>0</v>
      </c>
      <c r="G898" s="10">
        <v>6740103</v>
      </c>
    </row>
    <row r="899" spans="1:7" ht="15" x14ac:dyDescent="0.25">
      <c r="A899" s="5"/>
      <c r="B899" s="6" t="s">
        <v>570</v>
      </c>
      <c r="C899" s="12">
        <v>3727624585</v>
      </c>
      <c r="D899" s="13">
        <v>1.4995799999999999</v>
      </c>
      <c r="E899" s="12">
        <v>5589858</v>
      </c>
      <c r="F899" s="12">
        <v>0</v>
      </c>
      <c r="G899" s="12">
        <v>5589858</v>
      </c>
    </row>
    <row r="900" spans="1:7" ht="15" x14ac:dyDescent="0.25">
      <c r="A900" s="5"/>
      <c r="B900" s="2" t="s">
        <v>538</v>
      </c>
      <c r="C900" s="14"/>
      <c r="D900" s="15"/>
      <c r="E900" s="14"/>
      <c r="F900" s="14"/>
      <c r="G900" s="16">
        <f>SUM(G881:G899)</f>
        <v>116365756</v>
      </c>
    </row>
    <row r="901" spans="1:7" ht="13.5" x14ac:dyDescent="0.25">
      <c r="A901" s="5"/>
      <c r="B901" s="5"/>
      <c r="C901" s="5"/>
      <c r="D901" s="5"/>
      <c r="E901" s="5"/>
      <c r="F901" s="5"/>
      <c r="G901" s="19"/>
    </row>
    <row r="902" spans="1:7" ht="15" x14ac:dyDescent="0.25">
      <c r="A902" s="2" t="s">
        <v>281</v>
      </c>
      <c r="B902" s="3"/>
      <c r="C902" s="3"/>
      <c r="D902" s="3"/>
      <c r="E902" s="3"/>
      <c r="F902" s="3"/>
      <c r="G902" s="4"/>
    </row>
    <row r="903" spans="1:7" ht="15" x14ac:dyDescent="0.25">
      <c r="A903" s="5"/>
      <c r="B903" s="6" t="s">
        <v>236</v>
      </c>
      <c r="C903" s="12">
        <v>226011020</v>
      </c>
      <c r="D903" s="13">
        <v>0.28843999999999997</v>
      </c>
      <c r="E903" s="12">
        <v>65190</v>
      </c>
      <c r="F903" s="12">
        <v>0</v>
      </c>
      <c r="G903" s="12">
        <v>65190</v>
      </c>
    </row>
    <row r="904" spans="1:7" ht="15" x14ac:dyDescent="0.25">
      <c r="A904" s="5"/>
      <c r="B904" s="9" t="s">
        <v>237</v>
      </c>
      <c r="C904" s="10">
        <v>70378256</v>
      </c>
      <c r="D904" s="11">
        <v>0.42626999999999998</v>
      </c>
      <c r="E904" s="10">
        <v>30000</v>
      </c>
      <c r="F904" s="10">
        <v>0</v>
      </c>
      <c r="G904" s="10">
        <v>30000</v>
      </c>
    </row>
    <row r="905" spans="1:7" ht="15" x14ac:dyDescent="0.25">
      <c r="A905" s="5"/>
      <c r="B905" s="6" t="s">
        <v>238</v>
      </c>
      <c r="C905" s="12">
        <v>166523327</v>
      </c>
      <c r="D905" s="13">
        <v>0.3538</v>
      </c>
      <c r="E905" s="12">
        <v>58915</v>
      </c>
      <c r="F905" s="12">
        <v>0</v>
      </c>
      <c r="G905" s="12">
        <v>58915</v>
      </c>
    </row>
    <row r="906" spans="1:7" ht="15" x14ac:dyDescent="0.25">
      <c r="A906" s="5"/>
      <c r="B906" s="9" t="s">
        <v>239</v>
      </c>
      <c r="C906" s="10">
        <v>300657354</v>
      </c>
      <c r="D906" s="11">
        <v>0.5</v>
      </c>
      <c r="E906" s="10">
        <v>150329</v>
      </c>
      <c r="F906" s="10">
        <v>0</v>
      </c>
      <c r="G906" s="10">
        <v>150329</v>
      </c>
    </row>
    <row r="907" spans="1:7" ht="15" x14ac:dyDescent="0.25">
      <c r="A907" s="5"/>
      <c r="B907" s="6" t="s">
        <v>334</v>
      </c>
      <c r="C907" s="12">
        <v>432306425</v>
      </c>
      <c r="D907" s="13">
        <v>0.19253000000000001</v>
      </c>
      <c r="E907" s="12">
        <v>83231</v>
      </c>
      <c r="F907" s="12">
        <v>0</v>
      </c>
      <c r="G907" s="12">
        <v>83231</v>
      </c>
    </row>
    <row r="908" spans="1:7" ht="15" x14ac:dyDescent="0.25">
      <c r="A908" s="5"/>
      <c r="B908" s="9" t="s">
        <v>335</v>
      </c>
      <c r="C908" s="10">
        <v>447887397</v>
      </c>
      <c r="D908" s="11">
        <v>0.18096999999999999</v>
      </c>
      <c r="E908" s="10">
        <v>81052</v>
      </c>
      <c r="F908" s="10">
        <v>0</v>
      </c>
      <c r="G908" s="10">
        <v>81052</v>
      </c>
    </row>
    <row r="909" spans="1:7" ht="15" x14ac:dyDescent="0.25">
      <c r="A909" s="5"/>
      <c r="B909" s="6" t="s">
        <v>282</v>
      </c>
      <c r="C909" s="12">
        <v>880193822</v>
      </c>
      <c r="D909" s="13">
        <v>0.29375000000000001</v>
      </c>
      <c r="E909" s="12">
        <v>258553</v>
      </c>
      <c r="F909" s="12">
        <v>0</v>
      </c>
      <c r="G909" s="12">
        <v>258553</v>
      </c>
    </row>
    <row r="910" spans="1:7" ht="15" x14ac:dyDescent="0.25">
      <c r="A910" s="5"/>
      <c r="B910" s="9" t="s">
        <v>28</v>
      </c>
      <c r="C910" s="10">
        <v>644749874</v>
      </c>
      <c r="D910" s="11">
        <v>2.7789999999999999E-2</v>
      </c>
      <c r="E910" s="10">
        <v>17919</v>
      </c>
      <c r="F910" s="10">
        <v>0</v>
      </c>
      <c r="G910" s="10">
        <v>17919</v>
      </c>
    </row>
    <row r="911" spans="1:7" ht="15" x14ac:dyDescent="0.25">
      <c r="A911" s="5"/>
      <c r="B911" s="6" t="s">
        <v>29</v>
      </c>
      <c r="C911" s="12">
        <v>67258935</v>
      </c>
      <c r="D911" s="13">
        <v>4.7719999999999999E-2</v>
      </c>
      <c r="E911" s="12">
        <v>3210</v>
      </c>
      <c r="F911" s="12">
        <v>0</v>
      </c>
      <c r="G911" s="12">
        <v>3210</v>
      </c>
    </row>
    <row r="912" spans="1:7" ht="15" x14ac:dyDescent="0.25">
      <c r="A912" s="5"/>
      <c r="B912" s="2" t="s">
        <v>538</v>
      </c>
      <c r="C912" s="14"/>
      <c r="D912" s="15"/>
      <c r="E912" s="14"/>
      <c r="F912" s="14"/>
      <c r="G912" s="16">
        <f>SUM(G903:G911)</f>
        <v>748399</v>
      </c>
    </row>
    <row r="913" spans="1:7" ht="10.5" customHeight="1" x14ac:dyDescent="0.25">
      <c r="A913" s="5"/>
      <c r="B913" s="5"/>
      <c r="C913" s="5"/>
      <c r="D913" s="5"/>
      <c r="E913" s="5"/>
      <c r="F913" s="5"/>
      <c r="G913" s="19"/>
    </row>
    <row r="914" spans="1:7" ht="15" x14ac:dyDescent="0.25">
      <c r="A914" s="2" t="s">
        <v>283</v>
      </c>
      <c r="B914" s="3"/>
      <c r="C914" s="3"/>
      <c r="D914" s="3"/>
      <c r="E914" s="3"/>
      <c r="F914" s="3"/>
      <c r="G914" s="4"/>
    </row>
    <row r="915" spans="1:7" ht="15" x14ac:dyDescent="0.25">
      <c r="A915" s="5"/>
      <c r="B915" s="6" t="s">
        <v>284</v>
      </c>
      <c r="C915" s="12">
        <v>5479862778</v>
      </c>
      <c r="D915" s="13">
        <v>0.37106</v>
      </c>
      <c r="E915" s="12">
        <v>2033363</v>
      </c>
      <c r="F915" s="12">
        <v>0</v>
      </c>
      <c r="G915" s="12">
        <v>2033363</v>
      </c>
    </row>
    <row r="916" spans="1:7" ht="15" x14ac:dyDescent="0.25">
      <c r="A916" s="5"/>
      <c r="B916" s="9" t="s">
        <v>443</v>
      </c>
      <c r="C916" s="10">
        <v>202532105</v>
      </c>
      <c r="D916" s="11">
        <v>0.5</v>
      </c>
      <c r="E916" s="10">
        <v>101266</v>
      </c>
      <c r="F916" s="10">
        <v>127883</v>
      </c>
      <c r="G916" s="10">
        <v>229149</v>
      </c>
    </row>
    <row r="917" spans="1:7" ht="15" x14ac:dyDescent="0.25">
      <c r="A917" s="5"/>
      <c r="B917" s="6" t="s">
        <v>236</v>
      </c>
      <c r="C917" s="12">
        <v>134627508</v>
      </c>
      <c r="D917" s="13">
        <v>0.97587000000000002</v>
      </c>
      <c r="E917" s="12">
        <v>131379</v>
      </c>
      <c r="F917" s="12">
        <v>0</v>
      </c>
      <c r="G917" s="12">
        <v>131379</v>
      </c>
    </row>
    <row r="918" spans="1:7" ht="15" x14ac:dyDescent="0.25">
      <c r="A918" s="5"/>
      <c r="B918" s="9" t="s">
        <v>237</v>
      </c>
      <c r="C918" s="10">
        <v>212812486</v>
      </c>
      <c r="D918" s="11">
        <v>1.0004299999999999</v>
      </c>
      <c r="E918" s="10">
        <v>212905</v>
      </c>
      <c r="F918" s="10">
        <v>0</v>
      </c>
      <c r="G918" s="10">
        <v>212905</v>
      </c>
    </row>
    <row r="919" spans="1:7" ht="15" x14ac:dyDescent="0.25">
      <c r="A919" s="5"/>
      <c r="B919" s="6" t="s">
        <v>238</v>
      </c>
      <c r="C919" s="12">
        <v>277807945</v>
      </c>
      <c r="D919" s="13">
        <v>1.1166799999999999</v>
      </c>
      <c r="E919" s="12">
        <v>310223</v>
      </c>
      <c r="F919" s="12">
        <v>0</v>
      </c>
      <c r="G919" s="12">
        <v>310223</v>
      </c>
    </row>
    <row r="920" spans="1:7" ht="15" x14ac:dyDescent="0.25">
      <c r="A920" s="5"/>
      <c r="B920" s="9" t="s">
        <v>239</v>
      </c>
      <c r="C920" s="10">
        <v>1963201327</v>
      </c>
      <c r="D920" s="11">
        <v>0.88370000000000004</v>
      </c>
      <c r="E920" s="10">
        <v>1734880</v>
      </c>
      <c r="F920" s="10">
        <v>0</v>
      </c>
      <c r="G920" s="10">
        <v>1734880</v>
      </c>
    </row>
    <row r="921" spans="1:7" ht="15" x14ac:dyDescent="0.25">
      <c r="A921" s="5"/>
      <c r="B921" s="6" t="s">
        <v>240</v>
      </c>
      <c r="C921" s="12">
        <v>1196648701</v>
      </c>
      <c r="D921" s="13">
        <v>1.2045300000000001</v>
      </c>
      <c r="E921" s="12">
        <v>1441403</v>
      </c>
      <c r="F921" s="12">
        <v>0</v>
      </c>
      <c r="G921" s="12">
        <v>1441403</v>
      </c>
    </row>
    <row r="922" spans="1:7" ht="15" x14ac:dyDescent="0.25">
      <c r="A922" s="5"/>
      <c r="B922" s="9" t="s">
        <v>241</v>
      </c>
      <c r="C922" s="10">
        <v>393305051</v>
      </c>
      <c r="D922" s="11">
        <v>0.66930000000000001</v>
      </c>
      <c r="E922" s="10">
        <v>263239</v>
      </c>
      <c r="F922" s="10">
        <v>0</v>
      </c>
      <c r="G922" s="10">
        <v>263239</v>
      </c>
    </row>
    <row r="923" spans="1:7" ht="15" x14ac:dyDescent="0.25">
      <c r="A923" s="5"/>
      <c r="B923" s="6" t="s">
        <v>319</v>
      </c>
      <c r="C923" s="12">
        <v>79540562</v>
      </c>
      <c r="D923" s="13">
        <v>0.66779999999999995</v>
      </c>
      <c r="E923" s="12">
        <v>53117</v>
      </c>
      <c r="F923" s="12">
        <v>0</v>
      </c>
      <c r="G923" s="12">
        <v>53117</v>
      </c>
    </row>
    <row r="924" spans="1:7" ht="15" x14ac:dyDescent="0.25">
      <c r="A924" s="5"/>
      <c r="B924" s="9" t="s">
        <v>320</v>
      </c>
      <c r="C924" s="10">
        <v>181942999</v>
      </c>
      <c r="D924" s="11">
        <v>0.66479999999999995</v>
      </c>
      <c r="E924" s="10">
        <v>120956</v>
      </c>
      <c r="F924" s="10">
        <v>0</v>
      </c>
      <c r="G924" s="10">
        <v>120956</v>
      </c>
    </row>
    <row r="925" spans="1:7" ht="15" x14ac:dyDescent="0.25">
      <c r="A925" s="5"/>
      <c r="B925" s="6" t="s">
        <v>285</v>
      </c>
      <c r="C925" s="12">
        <v>10072773583</v>
      </c>
      <c r="D925" s="13">
        <v>0.24601999999999999</v>
      </c>
      <c r="E925" s="12">
        <v>2478090</v>
      </c>
      <c r="F925" s="12">
        <v>0</v>
      </c>
      <c r="G925" s="12">
        <v>2478090</v>
      </c>
    </row>
    <row r="926" spans="1:7" ht="15" x14ac:dyDescent="0.25">
      <c r="A926" s="5"/>
      <c r="B926" s="9" t="s">
        <v>282</v>
      </c>
      <c r="C926" s="10">
        <v>10072773583</v>
      </c>
      <c r="D926" s="11">
        <v>0.37925999999999999</v>
      </c>
      <c r="E926" s="10">
        <v>3820181</v>
      </c>
      <c r="F926" s="10">
        <v>0</v>
      </c>
      <c r="G926" s="10">
        <v>3820181</v>
      </c>
    </row>
    <row r="927" spans="1:7" ht="15" x14ac:dyDescent="0.25">
      <c r="A927" s="5"/>
      <c r="B927" s="6" t="s">
        <v>488</v>
      </c>
      <c r="C927" s="12">
        <v>463806923</v>
      </c>
      <c r="D927" s="13">
        <v>0</v>
      </c>
      <c r="E927" s="12">
        <v>0</v>
      </c>
      <c r="F927" s="12">
        <v>138616</v>
      </c>
      <c r="G927" s="12">
        <v>138616</v>
      </c>
    </row>
    <row r="928" spans="1:7" ht="15" x14ac:dyDescent="0.25">
      <c r="A928" s="5"/>
      <c r="B928" s="2" t="s">
        <v>538</v>
      </c>
      <c r="C928" s="14"/>
      <c r="D928" s="15"/>
      <c r="E928" s="14"/>
      <c r="F928" s="14"/>
      <c r="G928" s="16">
        <f>SUM(G915:G927)</f>
        <v>12967501</v>
      </c>
    </row>
    <row r="929" spans="1:7" ht="9" customHeight="1" x14ac:dyDescent="0.25">
      <c r="A929" s="5"/>
      <c r="B929" s="5"/>
      <c r="C929" s="5"/>
      <c r="D929" s="5"/>
      <c r="E929" s="5"/>
      <c r="F929" s="5"/>
      <c r="G929" s="19"/>
    </row>
    <row r="930" spans="1:7" ht="15" x14ac:dyDescent="0.25">
      <c r="A930" s="2" t="s">
        <v>286</v>
      </c>
      <c r="B930" s="3"/>
      <c r="C930" s="3"/>
      <c r="D930" s="3"/>
      <c r="E930" s="3"/>
      <c r="F930" s="3"/>
      <c r="G930" s="4"/>
    </row>
    <row r="931" spans="1:7" ht="15" x14ac:dyDescent="0.25">
      <c r="A931" s="5"/>
      <c r="B931" s="6" t="s">
        <v>571</v>
      </c>
      <c r="C931" s="12">
        <v>38108745790</v>
      </c>
      <c r="D931" s="13">
        <v>0.25635999999999998</v>
      </c>
      <c r="E931" s="12">
        <v>9769533</v>
      </c>
      <c r="F931" s="12">
        <v>0</v>
      </c>
      <c r="G931" s="12">
        <v>9769533</v>
      </c>
    </row>
    <row r="932" spans="1:7" ht="15" x14ac:dyDescent="0.25">
      <c r="A932" s="5"/>
      <c r="B932" s="9" t="s">
        <v>489</v>
      </c>
      <c r="C932" s="10">
        <v>1036737177</v>
      </c>
      <c r="D932" s="11">
        <v>0.28138999999999997</v>
      </c>
      <c r="E932" s="10">
        <v>291723</v>
      </c>
      <c r="F932" s="10">
        <v>0</v>
      </c>
      <c r="G932" s="10">
        <v>291723</v>
      </c>
    </row>
    <row r="933" spans="1:7" ht="15" x14ac:dyDescent="0.25">
      <c r="A933" s="5"/>
      <c r="B933" s="6" t="s">
        <v>399</v>
      </c>
      <c r="C933" s="12">
        <v>64977126</v>
      </c>
      <c r="D933" s="13">
        <v>9.6750000000000003E-2</v>
      </c>
      <c r="E933" s="12">
        <v>6286</v>
      </c>
      <c r="F933" s="12">
        <v>0</v>
      </c>
      <c r="G933" s="12">
        <v>6286</v>
      </c>
    </row>
    <row r="934" spans="1:7" ht="15" x14ac:dyDescent="0.25">
      <c r="A934" s="5"/>
      <c r="B934" s="9" t="s">
        <v>236</v>
      </c>
      <c r="C934" s="10">
        <v>2241082940</v>
      </c>
      <c r="D934" s="11">
        <v>1.08043</v>
      </c>
      <c r="E934" s="10">
        <v>2421326</v>
      </c>
      <c r="F934" s="10">
        <v>0</v>
      </c>
      <c r="G934" s="10">
        <v>2421326</v>
      </c>
    </row>
    <row r="935" spans="1:7" ht="15" x14ac:dyDescent="0.25">
      <c r="A935" s="5"/>
      <c r="B935" s="6" t="s">
        <v>239</v>
      </c>
      <c r="C935" s="12">
        <v>3133153903</v>
      </c>
      <c r="D935" s="13">
        <v>0.99</v>
      </c>
      <c r="E935" s="12">
        <v>3101822</v>
      </c>
      <c r="F935" s="12">
        <v>0</v>
      </c>
      <c r="G935" s="12">
        <v>3101822</v>
      </c>
    </row>
    <row r="936" spans="1:7" ht="15" x14ac:dyDescent="0.25">
      <c r="A936" s="5"/>
      <c r="B936" s="9" t="s">
        <v>240</v>
      </c>
      <c r="C936" s="10">
        <v>1036725857</v>
      </c>
      <c r="D936" s="11">
        <v>1.1399999999999999</v>
      </c>
      <c r="E936" s="10">
        <v>1181867</v>
      </c>
      <c r="F936" s="10">
        <v>0</v>
      </c>
      <c r="G936" s="10">
        <v>1181867</v>
      </c>
    </row>
    <row r="937" spans="1:7" ht="15" x14ac:dyDescent="0.25">
      <c r="A937" s="5"/>
      <c r="B937" s="6" t="s">
        <v>319</v>
      </c>
      <c r="C937" s="12">
        <v>8392835784</v>
      </c>
      <c r="D937" s="13">
        <v>0.69982</v>
      </c>
      <c r="E937" s="12">
        <v>5873512</v>
      </c>
      <c r="F937" s="12">
        <v>269991</v>
      </c>
      <c r="G937" s="12">
        <v>6143503</v>
      </c>
    </row>
    <row r="938" spans="1:7" ht="15" x14ac:dyDescent="0.25">
      <c r="A938" s="5"/>
      <c r="B938" s="9" t="s">
        <v>320</v>
      </c>
      <c r="C938" s="10">
        <v>1464270293</v>
      </c>
      <c r="D938" s="11">
        <v>0.79493999999999998</v>
      </c>
      <c r="E938" s="10">
        <v>1164000</v>
      </c>
      <c r="F938" s="10">
        <v>824962</v>
      </c>
      <c r="G938" s="10">
        <v>1988962</v>
      </c>
    </row>
    <row r="939" spans="1:7" ht="15" x14ac:dyDescent="0.25">
      <c r="A939" s="5"/>
      <c r="B939" s="6" t="s">
        <v>331</v>
      </c>
      <c r="C939" s="12">
        <v>591409990</v>
      </c>
      <c r="D939" s="13">
        <v>0.98773999999999995</v>
      </c>
      <c r="E939" s="12">
        <v>584161</v>
      </c>
      <c r="F939" s="12">
        <v>0</v>
      </c>
      <c r="G939" s="12">
        <v>584161</v>
      </c>
    </row>
    <row r="940" spans="1:7" ht="15" x14ac:dyDescent="0.25">
      <c r="A940" s="5"/>
      <c r="B940" s="9" t="s">
        <v>330</v>
      </c>
      <c r="C940" s="10">
        <v>1198053765</v>
      </c>
      <c r="D940" s="11">
        <v>1.2</v>
      </c>
      <c r="E940" s="10">
        <v>1437665</v>
      </c>
      <c r="F940" s="10">
        <v>0</v>
      </c>
      <c r="G940" s="10">
        <v>1437665</v>
      </c>
    </row>
    <row r="941" spans="1:7" ht="15" x14ac:dyDescent="0.25">
      <c r="A941" s="5"/>
      <c r="B941" s="6" t="s">
        <v>344</v>
      </c>
      <c r="C941" s="12">
        <v>276592628</v>
      </c>
      <c r="D941" s="13">
        <v>0.98238000000000003</v>
      </c>
      <c r="E941" s="12">
        <v>271719</v>
      </c>
      <c r="F941" s="12">
        <v>0</v>
      </c>
      <c r="G941" s="12">
        <v>271719</v>
      </c>
    </row>
    <row r="942" spans="1:7" ht="15" x14ac:dyDescent="0.25">
      <c r="A942" s="5"/>
      <c r="B942" s="9" t="s">
        <v>345</v>
      </c>
      <c r="C942" s="10">
        <v>599184113</v>
      </c>
      <c r="D942" s="11">
        <v>0.69728000000000001</v>
      </c>
      <c r="E942" s="10">
        <v>417796</v>
      </c>
      <c r="F942" s="10">
        <v>0</v>
      </c>
      <c r="G942" s="10">
        <v>417796</v>
      </c>
    </row>
    <row r="943" spans="1:7" ht="15" x14ac:dyDescent="0.25">
      <c r="A943" s="5"/>
      <c r="B943" s="6" t="s">
        <v>366</v>
      </c>
      <c r="C943" s="12">
        <v>673498596</v>
      </c>
      <c r="D943" s="13">
        <v>0.58157999999999999</v>
      </c>
      <c r="E943" s="12">
        <v>391690</v>
      </c>
      <c r="F943" s="12">
        <v>0</v>
      </c>
      <c r="G943" s="12">
        <v>391690</v>
      </c>
    </row>
    <row r="944" spans="1:7" ht="15" x14ac:dyDescent="0.25">
      <c r="A944" s="5"/>
      <c r="B944" s="9" t="s">
        <v>400</v>
      </c>
      <c r="C944" s="10">
        <v>519318934</v>
      </c>
      <c r="D944" s="11">
        <v>0.68352999999999997</v>
      </c>
      <c r="E944" s="10">
        <v>354971</v>
      </c>
      <c r="F944" s="10">
        <v>0</v>
      </c>
      <c r="G944" s="10">
        <v>354971</v>
      </c>
    </row>
    <row r="945" spans="1:7" ht="15" x14ac:dyDescent="0.25">
      <c r="A945" s="5"/>
      <c r="B945" s="6" t="s">
        <v>389</v>
      </c>
      <c r="C945" s="12">
        <v>9157276435</v>
      </c>
      <c r="D945" s="13">
        <v>0.76092000000000004</v>
      </c>
      <c r="E945" s="12">
        <v>6968001</v>
      </c>
      <c r="F945" s="12">
        <v>0</v>
      </c>
      <c r="G945" s="12">
        <v>6968001</v>
      </c>
    </row>
    <row r="946" spans="1:7" ht="15" x14ac:dyDescent="0.25">
      <c r="A946" s="5"/>
      <c r="B946" s="9" t="s">
        <v>520</v>
      </c>
      <c r="C946" s="10">
        <v>60840837172</v>
      </c>
      <c r="D946" s="11">
        <v>0.13005</v>
      </c>
      <c r="E946" s="10">
        <v>7912173</v>
      </c>
      <c r="F946" s="10">
        <v>0</v>
      </c>
      <c r="G946" s="10">
        <v>7912173</v>
      </c>
    </row>
    <row r="947" spans="1:7" ht="15" x14ac:dyDescent="0.25">
      <c r="A947" s="5"/>
      <c r="B947" s="6" t="s">
        <v>326</v>
      </c>
      <c r="C947" s="12">
        <v>3161498967</v>
      </c>
      <c r="D947" s="13">
        <v>0.13238</v>
      </c>
      <c r="E947" s="12">
        <v>418532</v>
      </c>
      <c r="F947" s="12">
        <v>0</v>
      </c>
      <c r="G947" s="12">
        <v>418532</v>
      </c>
    </row>
    <row r="948" spans="1:7" ht="15" x14ac:dyDescent="0.25">
      <c r="A948" s="5"/>
      <c r="B948" s="9" t="s">
        <v>380</v>
      </c>
      <c r="C948" s="10">
        <v>594768242</v>
      </c>
      <c r="D948" s="11">
        <v>0.18587000000000001</v>
      </c>
      <c r="E948" s="10">
        <v>110548</v>
      </c>
      <c r="F948" s="10">
        <v>0</v>
      </c>
      <c r="G948" s="10">
        <v>110548</v>
      </c>
    </row>
    <row r="949" spans="1:7" ht="15" x14ac:dyDescent="0.25">
      <c r="A949" s="5"/>
      <c r="B949" s="6" t="s">
        <v>412</v>
      </c>
      <c r="C949" s="12">
        <v>281082462</v>
      </c>
      <c r="D949" s="13">
        <v>0.23044000000000001</v>
      </c>
      <c r="E949" s="12">
        <v>64773</v>
      </c>
      <c r="F949" s="12">
        <v>0</v>
      </c>
      <c r="G949" s="12">
        <v>64773</v>
      </c>
    </row>
    <row r="950" spans="1:7" ht="15" x14ac:dyDescent="0.25">
      <c r="A950" s="5"/>
      <c r="B950" s="9" t="s">
        <v>429</v>
      </c>
      <c r="C950" s="10">
        <v>60840837172</v>
      </c>
      <c r="D950" s="11">
        <v>0.22015999999999999</v>
      </c>
      <c r="E950" s="10">
        <v>13394873</v>
      </c>
      <c r="F950" s="10">
        <v>0</v>
      </c>
      <c r="G950" s="10">
        <v>13394873</v>
      </c>
    </row>
    <row r="951" spans="1:7" ht="15" x14ac:dyDescent="0.25">
      <c r="A951" s="5"/>
      <c r="B951" s="6" t="s">
        <v>490</v>
      </c>
      <c r="C951" s="12">
        <v>1036737177</v>
      </c>
      <c r="D951" s="13">
        <v>0.215</v>
      </c>
      <c r="E951" s="12">
        <v>222898</v>
      </c>
      <c r="F951" s="12">
        <v>0</v>
      </c>
      <c r="G951" s="12">
        <v>222898</v>
      </c>
    </row>
    <row r="952" spans="1:7" ht="15" x14ac:dyDescent="0.25">
      <c r="A952" s="5"/>
      <c r="B952" s="9" t="s">
        <v>510</v>
      </c>
      <c r="C952" s="10">
        <v>5258864572</v>
      </c>
      <c r="D952" s="11">
        <v>0</v>
      </c>
      <c r="E952" s="10">
        <v>0</v>
      </c>
      <c r="F952" s="10">
        <v>216841</v>
      </c>
      <c r="G952" s="10">
        <v>216841</v>
      </c>
    </row>
    <row r="953" spans="1:7" ht="15" x14ac:dyDescent="0.25">
      <c r="A953" s="5"/>
      <c r="B953" s="6" t="s">
        <v>59</v>
      </c>
      <c r="C953" s="12">
        <v>144000514</v>
      </c>
      <c r="D953" s="13">
        <v>1.508E-2</v>
      </c>
      <c r="E953" s="12">
        <v>2171</v>
      </c>
      <c r="F953" s="12">
        <v>0</v>
      </c>
      <c r="G953" s="12">
        <v>2171</v>
      </c>
    </row>
    <row r="954" spans="1:7" ht="15" x14ac:dyDescent="0.25">
      <c r="A954" s="5"/>
      <c r="B954" s="9" t="s">
        <v>60</v>
      </c>
      <c r="C954" s="10">
        <v>594768242</v>
      </c>
      <c r="D954" s="11">
        <v>1.153E-2</v>
      </c>
      <c r="E954" s="10">
        <v>6855</v>
      </c>
      <c r="F954" s="10">
        <v>0</v>
      </c>
      <c r="G954" s="10">
        <v>6855</v>
      </c>
    </row>
    <row r="955" spans="1:7" ht="15" x14ac:dyDescent="0.25">
      <c r="A955" s="5"/>
      <c r="B955" s="6" t="s">
        <v>147</v>
      </c>
      <c r="C955" s="12">
        <v>231003291</v>
      </c>
      <c r="D955" s="13">
        <v>3.2680000000000001E-2</v>
      </c>
      <c r="E955" s="12">
        <v>7550</v>
      </c>
      <c r="F955" s="12">
        <v>0</v>
      </c>
      <c r="G955" s="12">
        <v>7550</v>
      </c>
    </row>
    <row r="956" spans="1:7" ht="15" x14ac:dyDescent="0.25">
      <c r="A956" s="5"/>
      <c r="B956" s="9" t="s">
        <v>148</v>
      </c>
      <c r="C956" s="10">
        <v>1541423922</v>
      </c>
      <c r="D956" s="11">
        <v>2.7980000000000001E-2</v>
      </c>
      <c r="E956" s="10">
        <v>43128</v>
      </c>
      <c r="F956" s="10">
        <v>0</v>
      </c>
      <c r="G956" s="10">
        <v>43128</v>
      </c>
    </row>
    <row r="957" spans="1:7" ht="15" x14ac:dyDescent="0.25">
      <c r="A957" s="5"/>
      <c r="B957" s="6" t="s">
        <v>233</v>
      </c>
      <c r="C957" s="12">
        <v>146977261</v>
      </c>
      <c r="D957" s="13">
        <v>3.7010000000000001E-2</v>
      </c>
      <c r="E957" s="12">
        <v>5440</v>
      </c>
      <c r="F957" s="12">
        <v>0</v>
      </c>
      <c r="G957" s="12">
        <v>5440</v>
      </c>
    </row>
    <row r="958" spans="1:7" ht="15" x14ac:dyDescent="0.25">
      <c r="A958" s="5"/>
      <c r="B958" s="9" t="s">
        <v>234</v>
      </c>
      <c r="C958" s="10">
        <v>4958367538</v>
      </c>
      <c r="D958" s="11">
        <v>2.844E-2</v>
      </c>
      <c r="E958" s="10">
        <v>141040</v>
      </c>
      <c r="F958" s="10">
        <v>0</v>
      </c>
      <c r="G958" s="10">
        <v>141040</v>
      </c>
    </row>
    <row r="959" spans="1:7" ht="15" x14ac:dyDescent="0.25">
      <c r="A959" s="5"/>
      <c r="B959" s="6" t="s">
        <v>287</v>
      </c>
      <c r="C959" s="12">
        <v>3988542481</v>
      </c>
      <c r="D959" s="13">
        <v>5.3190000000000001E-2</v>
      </c>
      <c r="E959" s="12">
        <v>212132</v>
      </c>
      <c r="F959" s="12">
        <v>0</v>
      </c>
      <c r="G959" s="12">
        <v>212132</v>
      </c>
    </row>
    <row r="960" spans="1:7" ht="15" x14ac:dyDescent="0.25">
      <c r="A960" s="5"/>
      <c r="B960" s="9" t="s">
        <v>288</v>
      </c>
      <c r="C960" s="10">
        <v>1036737177</v>
      </c>
      <c r="D960" s="11">
        <v>6.7200000000000003E-3</v>
      </c>
      <c r="E960" s="10">
        <v>6970</v>
      </c>
      <c r="F960" s="10">
        <v>0</v>
      </c>
      <c r="G960" s="10">
        <v>6970</v>
      </c>
    </row>
    <row r="961" spans="1:7" ht="15" x14ac:dyDescent="0.25">
      <c r="A961" s="5"/>
      <c r="B961" s="6" t="s">
        <v>289</v>
      </c>
      <c r="C961" s="12">
        <v>1142679725</v>
      </c>
      <c r="D961" s="13">
        <v>4.4810000000000003E-2</v>
      </c>
      <c r="E961" s="12">
        <v>51199</v>
      </c>
      <c r="F961" s="12">
        <v>0</v>
      </c>
      <c r="G961" s="12">
        <v>51199</v>
      </c>
    </row>
    <row r="962" spans="1:7" ht="15" x14ac:dyDescent="0.25">
      <c r="A962" s="5"/>
      <c r="B962" s="9" t="s">
        <v>290</v>
      </c>
      <c r="C962" s="10">
        <v>5326544972</v>
      </c>
      <c r="D962" s="11">
        <v>3.4500000000000003E-2</v>
      </c>
      <c r="E962" s="10">
        <v>183751</v>
      </c>
      <c r="F962" s="10">
        <v>0</v>
      </c>
      <c r="G962" s="10">
        <v>183751</v>
      </c>
    </row>
    <row r="963" spans="1:7" ht="15" x14ac:dyDescent="0.25">
      <c r="A963" s="5"/>
      <c r="B963" s="6" t="s">
        <v>291</v>
      </c>
      <c r="C963" s="12">
        <v>172269540</v>
      </c>
      <c r="D963" s="13">
        <v>4.2599999999999999E-2</v>
      </c>
      <c r="E963" s="12">
        <v>7338</v>
      </c>
      <c r="F963" s="12">
        <v>0</v>
      </c>
      <c r="G963" s="12">
        <v>7338</v>
      </c>
    </row>
    <row r="964" spans="1:7" ht="15" x14ac:dyDescent="0.25">
      <c r="A964" s="5"/>
      <c r="B964" s="9" t="s">
        <v>145</v>
      </c>
      <c r="C964" s="10">
        <v>60840837172</v>
      </c>
      <c r="D964" s="11">
        <v>0.10629</v>
      </c>
      <c r="E964" s="10">
        <v>6466488</v>
      </c>
      <c r="F964" s="10">
        <v>0</v>
      </c>
      <c r="G964" s="10">
        <v>6466488</v>
      </c>
    </row>
    <row r="965" spans="1:7" ht="15" x14ac:dyDescent="0.25">
      <c r="A965" s="5"/>
      <c r="B965" s="6" t="s">
        <v>292</v>
      </c>
      <c r="C965" s="12">
        <v>22732091382</v>
      </c>
      <c r="D965" s="13">
        <v>0.11804000000000001</v>
      </c>
      <c r="E965" s="12">
        <v>2683352</v>
      </c>
      <c r="F965" s="12">
        <v>0</v>
      </c>
      <c r="G965" s="12">
        <v>2683352</v>
      </c>
    </row>
    <row r="966" spans="1:7" ht="15" x14ac:dyDescent="0.25">
      <c r="A966" s="5"/>
      <c r="B966" s="9" t="s">
        <v>413</v>
      </c>
      <c r="C966" s="10">
        <v>4454074823</v>
      </c>
      <c r="D966" s="11">
        <v>1.0250999999999999</v>
      </c>
      <c r="E966" s="10">
        <v>4565890</v>
      </c>
      <c r="F966" s="10">
        <v>235194</v>
      </c>
      <c r="G966" s="10">
        <v>4801084</v>
      </c>
    </row>
    <row r="967" spans="1:7" ht="15" x14ac:dyDescent="0.25">
      <c r="A967" s="5"/>
      <c r="B967" s="20" t="s">
        <v>538</v>
      </c>
      <c r="C967" s="21"/>
      <c r="D967" s="22"/>
      <c r="E967" s="21"/>
      <c r="F967" s="21"/>
      <c r="G967" s="23">
        <f>SUM(G931:G966)</f>
        <v>72290161</v>
      </c>
    </row>
    <row r="968" spans="1:7" ht="10.5" customHeight="1" x14ac:dyDescent="0.25">
      <c r="A968" s="5"/>
      <c r="B968" s="5"/>
      <c r="C968" s="5"/>
      <c r="D968" s="5"/>
      <c r="E968" s="5"/>
      <c r="F968" s="5"/>
      <c r="G968" s="19"/>
    </row>
    <row r="969" spans="1:7" ht="15" x14ac:dyDescent="0.25">
      <c r="A969" s="2" t="s">
        <v>293</v>
      </c>
      <c r="B969" s="3"/>
      <c r="C969" s="3"/>
      <c r="D969" s="3"/>
      <c r="E969" s="3"/>
      <c r="F969" s="3"/>
      <c r="G969" s="4"/>
    </row>
    <row r="970" spans="1:7" ht="15" x14ac:dyDescent="0.25">
      <c r="A970" s="5"/>
      <c r="B970" s="6" t="s">
        <v>294</v>
      </c>
      <c r="C970" s="12">
        <v>2431821181</v>
      </c>
      <c r="D970" s="13">
        <v>0.47072000000000003</v>
      </c>
      <c r="E970" s="12">
        <v>1144707</v>
      </c>
      <c r="F970" s="12">
        <v>0</v>
      </c>
      <c r="G970" s="12">
        <v>1144707</v>
      </c>
    </row>
    <row r="971" spans="1:7" ht="15" x14ac:dyDescent="0.25">
      <c r="A971" s="5"/>
      <c r="B971" s="9" t="s">
        <v>295</v>
      </c>
      <c r="C971" s="10">
        <v>2601335471</v>
      </c>
      <c r="D971" s="11">
        <v>0.26806000000000002</v>
      </c>
      <c r="E971" s="10">
        <v>697302</v>
      </c>
      <c r="F971" s="10">
        <v>1917334</v>
      </c>
      <c r="G971" s="10">
        <v>2614636</v>
      </c>
    </row>
    <row r="972" spans="1:7" ht="15" x14ac:dyDescent="0.25">
      <c r="A972" s="5"/>
      <c r="B972" s="6" t="s">
        <v>24</v>
      </c>
      <c r="C972" s="12">
        <v>135133663</v>
      </c>
      <c r="D972" s="13">
        <v>0.46628999999999998</v>
      </c>
      <c r="E972" s="12">
        <v>63012</v>
      </c>
      <c r="F972" s="12">
        <v>0</v>
      </c>
      <c r="G972" s="12">
        <v>63012</v>
      </c>
    </row>
    <row r="973" spans="1:7" ht="15" x14ac:dyDescent="0.25">
      <c r="A973" s="5"/>
      <c r="B973" s="9" t="s">
        <v>296</v>
      </c>
      <c r="C973" s="10">
        <v>1134343646</v>
      </c>
      <c r="D973" s="11">
        <v>0</v>
      </c>
      <c r="E973" s="10">
        <v>0</v>
      </c>
      <c r="F973" s="10">
        <v>1011943</v>
      </c>
      <c r="G973" s="10">
        <v>1011943</v>
      </c>
    </row>
    <row r="974" spans="1:7" ht="15" x14ac:dyDescent="0.25">
      <c r="A974" s="5"/>
      <c r="B974" s="6" t="s">
        <v>297</v>
      </c>
      <c r="C974" s="12">
        <v>79586289</v>
      </c>
      <c r="D974" s="13">
        <v>0.57321999999999995</v>
      </c>
      <c r="E974" s="12">
        <v>45620</v>
      </c>
      <c r="F974" s="12">
        <v>0</v>
      </c>
      <c r="G974" s="12">
        <v>45620</v>
      </c>
    </row>
    <row r="975" spans="1:7" ht="15" x14ac:dyDescent="0.25">
      <c r="A975" s="5"/>
      <c r="B975" s="9" t="s">
        <v>236</v>
      </c>
      <c r="C975" s="10">
        <v>57419955</v>
      </c>
      <c r="D975" s="11">
        <v>0.58053999999999994</v>
      </c>
      <c r="E975" s="10">
        <v>33335</v>
      </c>
      <c r="F975" s="10">
        <v>0</v>
      </c>
      <c r="G975" s="10">
        <v>33335</v>
      </c>
    </row>
    <row r="976" spans="1:7" ht="15" x14ac:dyDescent="0.25">
      <c r="A976" s="5"/>
      <c r="B976" s="6" t="s">
        <v>237</v>
      </c>
      <c r="C976" s="12">
        <v>186047684</v>
      </c>
      <c r="D976" s="13">
        <v>0.44894000000000001</v>
      </c>
      <c r="E976" s="12">
        <v>83524</v>
      </c>
      <c r="F976" s="12">
        <v>18000</v>
      </c>
      <c r="G976" s="12">
        <v>101524</v>
      </c>
    </row>
    <row r="977" spans="1:7" ht="15" x14ac:dyDescent="0.25">
      <c r="A977" s="5"/>
      <c r="B977" s="9" t="s">
        <v>238</v>
      </c>
      <c r="C977" s="10">
        <v>63875009</v>
      </c>
      <c r="D977" s="11">
        <v>0.68084</v>
      </c>
      <c r="E977" s="10">
        <v>43489</v>
      </c>
      <c r="F977" s="10">
        <v>0</v>
      </c>
      <c r="G977" s="10">
        <v>43489</v>
      </c>
    </row>
    <row r="978" spans="1:7" ht="15" x14ac:dyDescent="0.25">
      <c r="A978" s="5"/>
      <c r="B978" s="6" t="s">
        <v>239</v>
      </c>
      <c r="C978" s="12">
        <v>78760122</v>
      </c>
      <c r="D978" s="13">
        <v>0.48788999999999999</v>
      </c>
      <c r="E978" s="12">
        <v>38426</v>
      </c>
      <c r="F978" s="12">
        <v>0</v>
      </c>
      <c r="G978" s="12">
        <v>38426</v>
      </c>
    </row>
    <row r="979" spans="1:7" ht="15" x14ac:dyDescent="0.25">
      <c r="A979" s="5"/>
      <c r="B979" s="9" t="s">
        <v>240</v>
      </c>
      <c r="C979" s="10">
        <v>47123883</v>
      </c>
      <c r="D979" s="11">
        <v>0.52568000000000004</v>
      </c>
      <c r="E979" s="10">
        <v>24772</v>
      </c>
      <c r="F979" s="10">
        <v>10000</v>
      </c>
      <c r="G979" s="10">
        <v>34772</v>
      </c>
    </row>
    <row r="980" spans="1:7" ht="15" x14ac:dyDescent="0.25">
      <c r="A980" s="5"/>
      <c r="B980" s="6" t="s">
        <v>241</v>
      </c>
      <c r="C980" s="12">
        <v>103485379</v>
      </c>
      <c r="D980" s="13">
        <v>0.45466000000000001</v>
      </c>
      <c r="E980" s="12">
        <v>47050</v>
      </c>
      <c r="F980" s="12">
        <v>40000</v>
      </c>
      <c r="G980" s="12">
        <v>87050</v>
      </c>
    </row>
    <row r="981" spans="1:7" ht="15" x14ac:dyDescent="0.25">
      <c r="A981" s="5"/>
      <c r="B981" s="9" t="s">
        <v>319</v>
      </c>
      <c r="C981" s="10">
        <v>192401220</v>
      </c>
      <c r="D981" s="11">
        <v>0.96118999999999999</v>
      </c>
      <c r="E981" s="10">
        <v>184934</v>
      </c>
      <c r="F981" s="10">
        <v>0</v>
      </c>
      <c r="G981" s="10">
        <v>184934</v>
      </c>
    </row>
    <row r="982" spans="1:7" ht="15" x14ac:dyDescent="0.25">
      <c r="A982" s="5"/>
      <c r="B982" s="6" t="s">
        <v>320</v>
      </c>
      <c r="C982" s="12">
        <v>203371194</v>
      </c>
      <c r="D982" s="13">
        <v>0.29150999999999999</v>
      </c>
      <c r="E982" s="12">
        <v>59284</v>
      </c>
      <c r="F982" s="12">
        <v>75000</v>
      </c>
      <c r="G982" s="12">
        <v>134284</v>
      </c>
    </row>
    <row r="983" spans="1:7" ht="15" x14ac:dyDescent="0.25">
      <c r="A983" s="5"/>
      <c r="B983" s="9" t="s">
        <v>324</v>
      </c>
      <c r="C983" s="10">
        <v>138174971</v>
      </c>
      <c r="D983" s="11">
        <v>1.03965</v>
      </c>
      <c r="E983" s="10">
        <v>143653</v>
      </c>
      <c r="F983" s="10">
        <v>0</v>
      </c>
      <c r="G983" s="10">
        <v>143653</v>
      </c>
    </row>
    <row r="984" spans="1:7" ht="15" x14ac:dyDescent="0.25">
      <c r="A984" s="5"/>
      <c r="B984" s="6" t="s">
        <v>331</v>
      </c>
      <c r="C984" s="12">
        <v>299445915</v>
      </c>
      <c r="D984" s="13">
        <v>0.96797</v>
      </c>
      <c r="E984" s="12">
        <v>289856</v>
      </c>
      <c r="F984" s="12">
        <v>0</v>
      </c>
      <c r="G984" s="12">
        <v>289856</v>
      </c>
    </row>
    <row r="985" spans="1:7" ht="15" x14ac:dyDescent="0.25">
      <c r="A985" s="5"/>
      <c r="B985" s="9" t="s">
        <v>332</v>
      </c>
      <c r="C985" s="10">
        <v>320031508</v>
      </c>
      <c r="D985" s="11">
        <v>0.82194</v>
      </c>
      <c r="E985" s="10">
        <v>263045</v>
      </c>
      <c r="F985" s="10">
        <v>0</v>
      </c>
      <c r="G985" s="10">
        <v>263045</v>
      </c>
    </row>
    <row r="986" spans="1:7" ht="15" x14ac:dyDescent="0.25">
      <c r="A986" s="5"/>
      <c r="B986" s="6" t="s">
        <v>325</v>
      </c>
      <c r="C986" s="12">
        <v>113503460</v>
      </c>
      <c r="D986" s="13">
        <v>0.39128000000000002</v>
      </c>
      <c r="E986" s="12">
        <v>44411</v>
      </c>
      <c r="F986" s="12">
        <v>0</v>
      </c>
      <c r="G986" s="12">
        <v>44411</v>
      </c>
    </row>
    <row r="987" spans="1:7" ht="15" x14ac:dyDescent="0.25">
      <c r="A987" s="5"/>
      <c r="B987" s="9" t="s">
        <v>330</v>
      </c>
      <c r="C987" s="10">
        <v>176926969</v>
      </c>
      <c r="D987" s="11">
        <v>0.67815000000000003</v>
      </c>
      <c r="E987" s="10">
        <v>119983</v>
      </c>
      <c r="F987" s="10">
        <v>0</v>
      </c>
      <c r="G987" s="10">
        <v>119983</v>
      </c>
    </row>
    <row r="988" spans="1:7" ht="15" x14ac:dyDescent="0.25">
      <c r="A988" s="5"/>
      <c r="B988" s="6" t="s">
        <v>298</v>
      </c>
      <c r="C988" s="12">
        <v>2601335471</v>
      </c>
      <c r="D988" s="13">
        <v>0.72453000000000001</v>
      </c>
      <c r="E988" s="12">
        <v>762525</v>
      </c>
      <c r="F988" s="12">
        <v>0</v>
      </c>
      <c r="G988" s="12">
        <v>762525</v>
      </c>
    </row>
    <row r="989" spans="1:7" ht="15" x14ac:dyDescent="0.25">
      <c r="A989" s="5"/>
      <c r="B989" s="9" t="s">
        <v>299</v>
      </c>
      <c r="C989" s="10">
        <v>5126258387</v>
      </c>
      <c r="D989" s="11">
        <v>0.27146999999999999</v>
      </c>
      <c r="E989" s="10">
        <v>1391608</v>
      </c>
      <c r="F989" s="10">
        <v>0</v>
      </c>
      <c r="G989" s="10">
        <v>1391608</v>
      </c>
    </row>
    <row r="990" spans="1:7" ht="15" x14ac:dyDescent="0.25">
      <c r="A990" s="5"/>
      <c r="B990" s="6" t="s">
        <v>300</v>
      </c>
      <c r="C990" s="12">
        <v>79625447</v>
      </c>
      <c r="D990" s="13">
        <v>0.40414</v>
      </c>
      <c r="E990" s="12">
        <v>32180</v>
      </c>
      <c r="F990" s="12">
        <v>0</v>
      </c>
      <c r="G990" s="12">
        <v>32180</v>
      </c>
    </row>
    <row r="991" spans="1:7" ht="15" x14ac:dyDescent="0.25">
      <c r="A991" s="5"/>
      <c r="B991" s="9" t="s">
        <v>301</v>
      </c>
      <c r="C991" s="10">
        <v>2601335471</v>
      </c>
      <c r="D991" s="11">
        <v>0.39933999999999997</v>
      </c>
      <c r="E991" s="10">
        <v>1038807</v>
      </c>
      <c r="F991" s="10">
        <v>0</v>
      </c>
      <c r="G991" s="10">
        <v>1038807</v>
      </c>
    </row>
    <row r="992" spans="1:7" ht="15" x14ac:dyDescent="0.25">
      <c r="A992" s="5"/>
      <c r="B992" s="6" t="s">
        <v>21</v>
      </c>
      <c r="C992" s="12">
        <v>78760122</v>
      </c>
      <c r="D992" s="13">
        <v>0.23521</v>
      </c>
      <c r="E992" s="12">
        <v>18525</v>
      </c>
      <c r="F992" s="12">
        <v>0</v>
      </c>
      <c r="G992" s="12">
        <v>18525</v>
      </c>
    </row>
    <row r="993" spans="1:7" ht="15" x14ac:dyDescent="0.25">
      <c r="A993" s="5"/>
      <c r="B993" s="9" t="s">
        <v>491</v>
      </c>
      <c r="C993" s="10">
        <v>192401220</v>
      </c>
      <c r="D993" s="11">
        <v>0.49337999999999999</v>
      </c>
      <c r="E993" s="10">
        <v>94926</v>
      </c>
      <c r="F993" s="10">
        <v>0</v>
      </c>
      <c r="G993" s="10">
        <v>94926</v>
      </c>
    </row>
    <row r="994" spans="1:7" ht="15" x14ac:dyDescent="0.25">
      <c r="A994" s="5"/>
      <c r="B994" s="6" t="s">
        <v>492</v>
      </c>
      <c r="C994" s="12">
        <v>320031508</v>
      </c>
      <c r="D994" s="13">
        <v>0.40661000000000003</v>
      </c>
      <c r="E994" s="12">
        <v>130127</v>
      </c>
      <c r="F994" s="12">
        <v>0</v>
      </c>
      <c r="G994" s="12">
        <v>130127</v>
      </c>
    </row>
    <row r="995" spans="1:7" ht="15" x14ac:dyDescent="0.25">
      <c r="A995" s="5"/>
      <c r="B995" s="9" t="s">
        <v>572</v>
      </c>
      <c r="C995" s="10">
        <v>242645636</v>
      </c>
      <c r="D995" s="11">
        <v>0</v>
      </c>
      <c r="E995" s="10">
        <v>0</v>
      </c>
      <c r="F995" s="10">
        <v>125000</v>
      </c>
      <c r="G995" s="10">
        <v>125000</v>
      </c>
    </row>
    <row r="996" spans="1:7" ht="15" x14ac:dyDescent="0.25">
      <c r="A996" s="5"/>
      <c r="B996" s="6" t="s">
        <v>493</v>
      </c>
      <c r="C996" s="12">
        <v>94530481</v>
      </c>
      <c r="D996" s="13">
        <v>0</v>
      </c>
      <c r="E996" s="12">
        <v>0</v>
      </c>
      <c r="F996" s="12">
        <v>150000</v>
      </c>
      <c r="G996" s="12">
        <v>150000</v>
      </c>
    </row>
    <row r="997" spans="1:7" ht="15" x14ac:dyDescent="0.25">
      <c r="A997" s="5"/>
      <c r="B997" s="9" t="s">
        <v>494</v>
      </c>
      <c r="C997" s="10">
        <v>247502658</v>
      </c>
      <c r="D997" s="11">
        <v>0</v>
      </c>
      <c r="E997" s="10">
        <v>0</v>
      </c>
      <c r="F997" s="10">
        <v>75000</v>
      </c>
      <c r="G997" s="10">
        <v>75000</v>
      </c>
    </row>
    <row r="998" spans="1:7" ht="15" x14ac:dyDescent="0.25">
      <c r="A998" s="5"/>
      <c r="B998" s="6" t="s">
        <v>495</v>
      </c>
      <c r="C998" s="12">
        <v>170310935</v>
      </c>
      <c r="D998" s="13">
        <v>0</v>
      </c>
      <c r="E998" s="12">
        <v>0</v>
      </c>
      <c r="F998" s="12">
        <v>115000</v>
      </c>
      <c r="G998" s="12">
        <v>115000</v>
      </c>
    </row>
    <row r="999" spans="1:7" ht="15" x14ac:dyDescent="0.25">
      <c r="A999" s="5"/>
      <c r="B999" s="9" t="s">
        <v>519</v>
      </c>
      <c r="C999" s="10">
        <v>168444064</v>
      </c>
      <c r="D999" s="11">
        <v>0</v>
      </c>
      <c r="E999" s="10">
        <v>0</v>
      </c>
      <c r="F999" s="10">
        <v>79337</v>
      </c>
      <c r="G999" s="10">
        <v>79337</v>
      </c>
    </row>
    <row r="1000" spans="1:7" ht="15" x14ac:dyDescent="0.25">
      <c r="A1000" s="5"/>
      <c r="B1000" s="6" t="s">
        <v>511</v>
      </c>
      <c r="C1000" s="12">
        <v>82083111</v>
      </c>
      <c r="D1000" s="13">
        <v>0</v>
      </c>
      <c r="E1000" s="12">
        <v>0</v>
      </c>
      <c r="F1000" s="12">
        <v>130000</v>
      </c>
      <c r="G1000" s="12">
        <v>130000</v>
      </c>
    </row>
    <row r="1001" spans="1:7" ht="15" x14ac:dyDescent="0.25">
      <c r="A1001" s="5"/>
      <c r="B1001" s="9" t="s">
        <v>455</v>
      </c>
      <c r="C1001" s="10">
        <v>153160964</v>
      </c>
      <c r="D1001" s="11">
        <v>0</v>
      </c>
      <c r="E1001" s="10">
        <v>0</v>
      </c>
      <c r="F1001" s="10">
        <v>70531</v>
      </c>
      <c r="G1001" s="10">
        <v>70531</v>
      </c>
    </row>
    <row r="1002" spans="1:7" ht="15" x14ac:dyDescent="0.25">
      <c r="A1002" s="5"/>
      <c r="B1002" s="6" t="s">
        <v>521</v>
      </c>
      <c r="C1002" s="12">
        <v>91387496</v>
      </c>
      <c r="D1002" s="13">
        <v>0</v>
      </c>
      <c r="E1002" s="12">
        <v>0</v>
      </c>
      <c r="F1002" s="12">
        <v>140000</v>
      </c>
      <c r="G1002" s="12">
        <v>140000</v>
      </c>
    </row>
    <row r="1003" spans="1:7" ht="15" x14ac:dyDescent="0.25">
      <c r="A1003" s="5"/>
      <c r="B1003" s="9" t="s">
        <v>30</v>
      </c>
      <c r="C1003" s="10">
        <v>204039549</v>
      </c>
      <c r="D1003" s="11">
        <v>8.0729999999999996E-2</v>
      </c>
      <c r="E1003" s="10">
        <v>16473</v>
      </c>
      <c r="F1003" s="10">
        <v>0</v>
      </c>
      <c r="G1003" s="10">
        <v>16473</v>
      </c>
    </row>
    <row r="1004" spans="1:7" ht="15" x14ac:dyDescent="0.25">
      <c r="A1004" s="5"/>
      <c r="B1004" s="6" t="s">
        <v>31</v>
      </c>
      <c r="C1004" s="12">
        <v>98223832</v>
      </c>
      <c r="D1004" s="13">
        <v>4.0890000000000003E-2</v>
      </c>
      <c r="E1004" s="12">
        <v>4017</v>
      </c>
      <c r="F1004" s="12">
        <v>20000</v>
      </c>
      <c r="G1004" s="12">
        <v>24017</v>
      </c>
    </row>
    <row r="1005" spans="1:7" ht="15" x14ac:dyDescent="0.25">
      <c r="A1005" s="5"/>
      <c r="B1005" s="9" t="s">
        <v>32</v>
      </c>
      <c r="C1005" s="10">
        <v>51028206</v>
      </c>
      <c r="D1005" s="11">
        <v>0.1125</v>
      </c>
      <c r="E1005" s="10">
        <v>5741</v>
      </c>
      <c r="F1005" s="10">
        <v>0</v>
      </c>
      <c r="G1005" s="10">
        <v>5741</v>
      </c>
    </row>
    <row r="1006" spans="1:7" ht="15" x14ac:dyDescent="0.25">
      <c r="A1006" s="5"/>
      <c r="B1006" s="6" t="s">
        <v>44</v>
      </c>
      <c r="C1006" s="12">
        <v>425959895</v>
      </c>
      <c r="D1006" s="13">
        <v>6.7349999999999993E-2</v>
      </c>
      <c r="E1006" s="12">
        <v>28690</v>
      </c>
      <c r="F1006" s="12">
        <v>7500</v>
      </c>
      <c r="G1006" s="12">
        <v>36190</v>
      </c>
    </row>
    <row r="1007" spans="1:7" ht="15" x14ac:dyDescent="0.25">
      <c r="A1007" s="5"/>
      <c r="B1007" s="2" t="s">
        <v>538</v>
      </c>
      <c r="C1007" s="14"/>
      <c r="D1007" s="15"/>
      <c r="E1007" s="14"/>
      <c r="F1007" s="14"/>
      <c r="G1007" s="16">
        <f>SUM(G970:G1006)</f>
        <v>10834667</v>
      </c>
    </row>
    <row r="1008" spans="1:7" ht="9.75" customHeight="1" x14ac:dyDescent="0.25">
      <c r="A1008" s="5"/>
      <c r="B1008" s="5"/>
      <c r="C1008" s="5"/>
      <c r="D1008" s="5"/>
      <c r="E1008" s="5"/>
      <c r="F1008" s="5"/>
      <c r="G1008" s="19"/>
    </row>
    <row r="1009" spans="1:7" ht="15" x14ac:dyDescent="0.25">
      <c r="A1009" s="2" t="s">
        <v>302</v>
      </c>
      <c r="B1009" s="3"/>
      <c r="C1009" s="3"/>
      <c r="D1009" s="3"/>
      <c r="E1009" s="3"/>
      <c r="F1009" s="3"/>
      <c r="G1009" s="4"/>
    </row>
    <row r="1010" spans="1:7" ht="15" x14ac:dyDescent="0.25">
      <c r="A1010" s="5"/>
      <c r="B1010" s="6" t="s">
        <v>303</v>
      </c>
      <c r="C1010" s="12">
        <v>30154852791</v>
      </c>
      <c r="D1010" s="13">
        <v>0.29321000000000003</v>
      </c>
      <c r="E1010" s="12">
        <v>8841673</v>
      </c>
      <c r="F1010" s="12">
        <v>0</v>
      </c>
      <c r="G1010" s="12">
        <v>8841673</v>
      </c>
    </row>
    <row r="1011" spans="1:7" ht="15" x14ac:dyDescent="0.25">
      <c r="A1011" s="5"/>
      <c r="B1011" s="9" t="s">
        <v>414</v>
      </c>
      <c r="C1011" s="10">
        <v>680684400</v>
      </c>
      <c r="D1011" s="11">
        <v>0.68986999999999998</v>
      </c>
      <c r="E1011" s="10">
        <v>469584</v>
      </c>
      <c r="F1011" s="10">
        <v>130000</v>
      </c>
      <c r="G1011" s="10">
        <v>599584</v>
      </c>
    </row>
    <row r="1012" spans="1:7" ht="15" x14ac:dyDescent="0.25">
      <c r="A1012" s="5"/>
      <c r="B1012" s="6" t="s">
        <v>415</v>
      </c>
      <c r="C1012" s="12">
        <v>1934926724</v>
      </c>
      <c r="D1012" s="13">
        <v>0.79837000000000002</v>
      </c>
      <c r="E1012" s="12">
        <v>1544785</v>
      </c>
      <c r="F1012" s="12">
        <v>0</v>
      </c>
      <c r="G1012" s="12">
        <v>1544785</v>
      </c>
    </row>
    <row r="1013" spans="1:7" ht="15" x14ac:dyDescent="0.25">
      <c r="A1013" s="5"/>
      <c r="B1013" s="9" t="s">
        <v>416</v>
      </c>
      <c r="C1013" s="10">
        <v>300512685</v>
      </c>
      <c r="D1013" s="11">
        <v>0.90430999999999995</v>
      </c>
      <c r="E1013" s="10">
        <v>271757</v>
      </c>
      <c r="F1013" s="10">
        <v>110000</v>
      </c>
      <c r="G1013" s="10">
        <v>381757</v>
      </c>
    </row>
    <row r="1014" spans="1:7" ht="15" x14ac:dyDescent="0.25">
      <c r="A1014" s="5"/>
      <c r="B1014" s="6" t="s">
        <v>417</v>
      </c>
      <c r="C1014" s="12">
        <v>2978748077</v>
      </c>
      <c r="D1014" s="13">
        <v>1.1571</v>
      </c>
      <c r="E1014" s="12">
        <v>3446706</v>
      </c>
      <c r="F1014" s="12">
        <v>0</v>
      </c>
      <c r="G1014" s="12">
        <v>3446706</v>
      </c>
    </row>
    <row r="1015" spans="1:7" ht="15" x14ac:dyDescent="0.25">
      <c r="A1015" s="5"/>
      <c r="B1015" s="9" t="s">
        <v>418</v>
      </c>
      <c r="C1015" s="10">
        <v>3892090824</v>
      </c>
      <c r="D1015" s="11">
        <v>0.90959000000000001</v>
      </c>
      <c r="E1015" s="10">
        <v>3540215</v>
      </c>
      <c r="F1015" s="10">
        <v>1004000</v>
      </c>
      <c r="G1015" s="10">
        <v>4544215</v>
      </c>
    </row>
    <row r="1016" spans="1:7" ht="15" x14ac:dyDescent="0.25">
      <c r="A1016" s="5"/>
      <c r="B1016" s="6" t="s">
        <v>419</v>
      </c>
      <c r="C1016" s="12">
        <v>629975792</v>
      </c>
      <c r="D1016" s="13">
        <v>0.63226000000000004</v>
      </c>
      <c r="E1016" s="12">
        <v>398308</v>
      </c>
      <c r="F1016" s="12">
        <v>0</v>
      </c>
      <c r="G1016" s="12">
        <v>398308</v>
      </c>
    </row>
    <row r="1017" spans="1:7" ht="15" x14ac:dyDescent="0.25">
      <c r="A1017" s="5"/>
      <c r="B1017" s="9" t="s">
        <v>420</v>
      </c>
      <c r="C1017" s="10">
        <v>26404340</v>
      </c>
      <c r="D1017" s="11">
        <v>0.61141000000000001</v>
      </c>
      <c r="E1017" s="10">
        <v>16144</v>
      </c>
      <c r="F1017" s="10">
        <v>0</v>
      </c>
      <c r="G1017" s="10">
        <v>16144</v>
      </c>
    </row>
    <row r="1018" spans="1:7" ht="15" x14ac:dyDescent="0.25">
      <c r="A1018" s="5"/>
      <c r="B1018" s="6" t="s">
        <v>421</v>
      </c>
      <c r="C1018" s="12">
        <v>234717473</v>
      </c>
      <c r="D1018" s="13">
        <v>0.50873999999999997</v>
      </c>
      <c r="E1018" s="12">
        <v>119410</v>
      </c>
      <c r="F1018" s="12">
        <v>0</v>
      </c>
      <c r="G1018" s="12">
        <v>119410</v>
      </c>
    </row>
    <row r="1019" spans="1:7" ht="15" x14ac:dyDescent="0.25">
      <c r="A1019" s="5"/>
      <c r="B1019" s="9" t="s">
        <v>422</v>
      </c>
      <c r="C1019" s="10">
        <v>137082261</v>
      </c>
      <c r="D1019" s="11">
        <v>0.86880999999999997</v>
      </c>
      <c r="E1019" s="10">
        <v>119099</v>
      </c>
      <c r="F1019" s="10">
        <v>0</v>
      </c>
      <c r="G1019" s="10">
        <v>119099</v>
      </c>
    </row>
    <row r="1020" spans="1:7" ht="15" x14ac:dyDescent="0.25">
      <c r="A1020" s="5"/>
      <c r="B1020" s="6" t="s">
        <v>423</v>
      </c>
      <c r="C1020" s="12">
        <v>69753436</v>
      </c>
      <c r="D1020" s="13">
        <v>1.15872</v>
      </c>
      <c r="E1020" s="12">
        <v>80825</v>
      </c>
      <c r="F1020" s="12">
        <v>0</v>
      </c>
      <c r="G1020" s="12">
        <v>80825</v>
      </c>
    </row>
    <row r="1021" spans="1:7" ht="15" x14ac:dyDescent="0.25">
      <c r="A1021" s="5"/>
      <c r="B1021" s="9" t="s">
        <v>424</v>
      </c>
      <c r="C1021" s="10">
        <v>2085721064</v>
      </c>
      <c r="D1021" s="11">
        <v>0.88948000000000005</v>
      </c>
      <c r="E1021" s="10">
        <v>1855208</v>
      </c>
      <c r="F1021" s="10">
        <v>0</v>
      </c>
      <c r="G1021" s="10">
        <v>1855208</v>
      </c>
    </row>
    <row r="1022" spans="1:7" ht="15" x14ac:dyDescent="0.25">
      <c r="A1022" s="5"/>
      <c r="B1022" s="6" t="s">
        <v>425</v>
      </c>
      <c r="C1022" s="12">
        <v>200026898</v>
      </c>
      <c r="D1022" s="13">
        <v>1.00715</v>
      </c>
      <c r="E1022" s="12">
        <v>201458</v>
      </c>
      <c r="F1022" s="12">
        <v>0</v>
      </c>
      <c r="G1022" s="12">
        <v>201458</v>
      </c>
    </row>
    <row r="1023" spans="1:7" ht="15" x14ac:dyDescent="0.25">
      <c r="A1023" s="5"/>
      <c r="B1023" s="9" t="s">
        <v>304</v>
      </c>
      <c r="C1023" s="10">
        <v>2680894857</v>
      </c>
      <c r="D1023" s="11">
        <v>0.25905</v>
      </c>
      <c r="E1023" s="10">
        <v>694492</v>
      </c>
      <c r="F1023" s="10">
        <v>0</v>
      </c>
      <c r="G1023" s="10">
        <v>694492</v>
      </c>
    </row>
    <row r="1024" spans="1:7" ht="15" x14ac:dyDescent="0.25">
      <c r="A1024" s="5"/>
      <c r="B1024" s="6" t="s">
        <v>305</v>
      </c>
      <c r="C1024" s="12">
        <v>1584277083</v>
      </c>
      <c r="D1024" s="13">
        <v>0.23960999999999999</v>
      </c>
      <c r="E1024" s="12">
        <v>379605</v>
      </c>
      <c r="F1024" s="12">
        <v>0</v>
      </c>
      <c r="G1024" s="12">
        <v>379605</v>
      </c>
    </row>
    <row r="1025" spans="1:7" ht="15" x14ac:dyDescent="0.25">
      <c r="A1025" s="5"/>
      <c r="B1025" s="9" t="s">
        <v>282</v>
      </c>
      <c r="C1025" s="10">
        <v>31953707823</v>
      </c>
      <c r="D1025" s="11">
        <v>0.25</v>
      </c>
      <c r="E1025" s="10">
        <v>7988427</v>
      </c>
      <c r="F1025" s="10">
        <v>0</v>
      </c>
      <c r="G1025" s="10">
        <v>7988427</v>
      </c>
    </row>
    <row r="1026" spans="1:7" ht="15" x14ac:dyDescent="0.25">
      <c r="A1026" s="5"/>
      <c r="B1026" s="6" t="s">
        <v>522</v>
      </c>
      <c r="C1026" s="12">
        <v>402103154</v>
      </c>
      <c r="D1026" s="13">
        <v>0</v>
      </c>
      <c r="E1026" s="12">
        <v>0</v>
      </c>
      <c r="F1026" s="12">
        <v>198161</v>
      </c>
      <c r="G1026" s="12">
        <v>198161</v>
      </c>
    </row>
    <row r="1027" spans="1:7" ht="15" x14ac:dyDescent="0.25">
      <c r="A1027" s="5"/>
      <c r="B1027" s="9" t="s">
        <v>306</v>
      </c>
      <c r="C1027" s="10">
        <v>3110320251</v>
      </c>
      <c r="D1027" s="11">
        <v>0</v>
      </c>
      <c r="E1027" s="10">
        <v>0</v>
      </c>
      <c r="F1027" s="10">
        <v>475000</v>
      </c>
      <c r="G1027" s="10">
        <v>475000</v>
      </c>
    </row>
    <row r="1028" spans="1:7" ht="15" x14ac:dyDescent="0.25">
      <c r="A1028" s="5"/>
      <c r="B1028" s="6" t="s">
        <v>145</v>
      </c>
      <c r="C1028" s="12">
        <v>31953707823</v>
      </c>
      <c r="D1028" s="13">
        <v>5.5140000000000002E-2</v>
      </c>
      <c r="E1028" s="12">
        <v>1761801</v>
      </c>
      <c r="F1028" s="12">
        <v>0</v>
      </c>
      <c r="G1028" s="12">
        <v>1761801</v>
      </c>
    </row>
    <row r="1029" spans="1:7" ht="15" x14ac:dyDescent="0.25">
      <c r="A1029" s="5"/>
      <c r="B1029" s="2" t="s">
        <v>538</v>
      </c>
      <c r="C1029" s="14"/>
      <c r="D1029" s="15"/>
      <c r="E1029" s="14"/>
      <c r="F1029" s="14"/>
      <c r="G1029" s="16">
        <f>SUM(G1010:G1028)</f>
        <v>33646658</v>
      </c>
    </row>
    <row r="1030" spans="1:7" ht="13.5" x14ac:dyDescent="0.25">
      <c r="A1030" s="5"/>
      <c r="B1030" s="5"/>
      <c r="C1030" s="5"/>
      <c r="D1030" s="5"/>
      <c r="E1030" s="5"/>
      <c r="F1030" s="5"/>
      <c r="G1030" s="5"/>
    </row>
    <row r="1031" spans="1:7" ht="13.5" x14ac:dyDescent="0.25">
      <c r="A1031" s="5"/>
      <c r="B1031" s="5"/>
      <c r="C1031" s="5"/>
      <c r="D1031" s="5"/>
      <c r="E1031" s="5"/>
      <c r="F1031" s="5"/>
      <c r="G1031" s="5"/>
    </row>
    <row r="1032" spans="1:7" ht="13.5" x14ac:dyDescent="0.25">
      <c r="A1032" s="5"/>
      <c r="B1032" s="5"/>
      <c r="C1032" s="5"/>
      <c r="D1032" s="5"/>
      <c r="E1032" s="5"/>
      <c r="F1032" s="5"/>
      <c r="G1032" s="5"/>
    </row>
    <row r="1033" spans="1:7" ht="13.5" x14ac:dyDescent="0.25">
      <c r="A1033" s="5"/>
      <c r="B1033" s="5"/>
      <c r="C1033" s="5"/>
      <c r="D1033" s="5"/>
      <c r="E1033" s="5"/>
      <c r="F1033" s="5"/>
      <c r="G1033" s="5"/>
    </row>
    <row r="1034" spans="1:7" ht="13.5" x14ac:dyDescent="0.25">
      <c r="A1034" s="5"/>
      <c r="B1034" s="5"/>
      <c r="C1034" s="5"/>
      <c r="D1034" s="5"/>
      <c r="E1034" s="5"/>
      <c r="F1034" s="5"/>
      <c r="G1034" s="5"/>
    </row>
    <row r="1035" spans="1:7" ht="13.5" x14ac:dyDescent="0.25">
      <c r="A1035" s="5"/>
      <c r="B1035" s="5"/>
      <c r="C1035" s="5"/>
      <c r="D1035" s="5"/>
      <c r="E1035" s="5"/>
      <c r="F1035" s="5"/>
      <c r="G1035" s="5"/>
    </row>
    <row r="1036" spans="1:7" ht="13.5" x14ac:dyDescent="0.25">
      <c r="A1036" s="5"/>
      <c r="B1036" s="5"/>
      <c r="C1036" s="5"/>
      <c r="D1036" s="5"/>
      <c r="E1036" s="5"/>
      <c r="F1036" s="5"/>
      <c r="G1036" s="5"/>
    </row>
    <row r="1037" spans="1:7" ht="13.5" x14ac:dyDescent="0.25">
      <c r="A1037" s="5"/>
      <c r="B1037" s="5"/>
      <c r="C1037" s="5"/>
      <c r="D1037" s="5"/>
      <c r="E1037" s="5"/>
      <c r="F1037" s="5"/>
      <c r="G1037" s="5"/>
    </row>
    <row r="1038" spans="1:7" ht="13.5" x14ac:dyDescent="0.25">
      <c r="A1038" s="5"/>
      <c r="B1038" s="5"/>
      <c r="C1038" s="5"/>
      <c r="D1038" s="5"/>
      <c r="E1038" s="5"/>
      <c r="F1038" s="5"/>
      <c r="G1038" s="5"/>
    </row>
    <row r="1039" spans="1:7" ht="13.5" x14ac:dyDescent="0.25">
      <c r="A1039" s="5"/>
      <c r="B1039" s="5"/>
      <c r="C1039" s="5"/>
      <c r="D1039" s="5"/>
      <c r="E1039" s="5"/>
      <c r="F1039" s="5"/>
      <c r="G1039" s="5"/>
    </row>
  </sheetData>
  <mergeCells count="9">
    <mergeCell ref="A1:G1"/>
    <mergeCell ref="A2:G2"/>
    <mergeCell ref="A3:A5"/>
    <mergeCell ref="B3:B5"/>
    <mergeCell ref="C3:C5"/>
    <mergeCell ref="D3:D5"/>
    <mergeCell ref="E3:E5"/>
    <mergeCell ref="F3:F5"/>
    <mergeCell ref="G3:G5"/>
  </mergeCells>
  <printOptions horizontalCentered="1"/>
  <pageMargins left="0.7" right="0.7" top="0.75" bottom="0.75" header="0.3" footer="0.3"/>
  <pageSetup scale="70" firstPageNumber="59" orientation="portrait" useFirstPageNumber="1" horizontalDpi="204" verticalDpi="192" r:id="rId1"/>
  <headerFooter>
    <oddFooter>&amp;C&amp;P</oddFooter>
  </headerFooter>
  <rowBreaks count="1" manualBreakCount="1">
    <brk id="96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Junior Levy Detail</vt:lpstr>
      <vt:lpstr>'Junior Levy Detail'!Print_Area</vt:lpstr>
    </vt:vector>
  </TitlesOfParts>
  <Company>State of Washington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blres140</dc:creator>
  <cp:lastModifiedBy>Ferrara, Erikka (DOR)</cp:lastModifiedBy>
  <cp:lastPrinted>2023-10-19T19:45:46Z</cp:lastPrinted>
  <dcterms:created xsi:type="dcterms:W3CDTF">2015-10-29T20:26:46Z</dcterms:created>
  <dcterms:modified xsi:type="dcterms:W3CDTF">2024-11-18T17:32:56Z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INKTEK-CHUNK-1">
    <vt:lpwstr>010021{"F":2,"I":"A81E-C4D9-8528-E883"}</vt:lpwstr>
  </property>
</Properties>
</file>